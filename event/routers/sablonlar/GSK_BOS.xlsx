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codeName="BuÇalışmaKitabı"/>
  <mc:AlternateContent xmlns:mc="http://schemas.openxmlformats.org/markup-compatibility/2006">
    <mc:Choice Requires="x15">
      <x15ac:absPath xmlns:x15ac="http://schemas.microsoft.com/office/spreadsheetml/2010/11/ac" url="/Users/ergun/Downloads/"/>
    </mc:Choice>
  </mc:AlternateContent>
  <xr:revisionPtr revIDLastSave="0" documentId="13_ncr:1_{B8277EFE-793E-D94B-821F-E37CDA08B235}" xr6:coauthVersionLast="47" xr6:coauthVersionMax="47" xr10:uidLastSave="{00000000-0000-0000-0000-000000000000}"/>
  <bookViews>
    <workbookView xWindow="-20" yWindow="600" windowWidth="34580" windowHeight="19420" tabRatio="735" activeTab="1" xr2:uid="{00000000-000D-0000-FFFF-FFFF00000000}"/>
  </bookViews>
  <sheets>
    <sheet name="TEKLİF ÖZETİ" sheetId="2" r:id="rId1"/>
    <sheet name="Merlot - Harbiye Restaurant" sheetId="13" r:id="rId2"/>
  </sheets>
  <definedNames>
    <definedName name="_xlnm.Print_Area" localSheetId="0">'TEKLİF ÖZETİ'!$A$2:$M$2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7" i="13" l="1"/>
  <c r="H30" i="13"/>
  <c r="I27" i="13" l="1"/>
  <c r="J30" i="13"/>
  <c r="I30" i="13"/>
  <c r="H27" i="13"/>
  <c r="K4" i="2" l="1"/>
  <c r="J27" i="13"/>
  <c r="I23" i="13"/>
  <c r="L4" i="2" l="1"/>
  <c r="I37" i="13"/>
  <c r="H37" i="13"/>
  <c r="H23" i="13"/>
  <c r="J23" i="13"/>
  <c r="I17" i="13"/>
  <c r="H17" i="13"/>
  <c r="J17" i="13" l="1"/>
  <c r="H38" i="13"/>
  <c r="I38" i="13"/>
  <c r="K3" i="2" l="1"/>
  <c r="I40" i="13"/>
  <c r="J38" i="13"/>
  <c r="L3" i="2" s="1"/>
</calcChain>
</file>

<file path=xl/sharedStrings.xml><?xml version="1.0" encoding="utf-8"?>
<sst xmlns="http://schemas.openxmlformats.org/spreadsheetml/2006/main" count="66" uniqueCount="60">
  <si>
    <t>Toplantı Adı:</t>
  </si>
  <si>
    <t xml:space="preserve">Toplantı Tarih: </t>
  </si>
  <si>
    <t>Toplantı Saati</t>
  </si>
  <si>
    <t>GSK Grup:</t>
  </si>
  <si>
    <t>Mekan Adı:</t>
  </si>
  <si>
    <t>Yetkili Kişi:</t>
  </si>
  <si>
    <t>Servis Bedeli Hariç</t>
  </si>
  <si>
    <t>Kur</t>
  </si>
  <si>
    <t>Kişi/
Adet</t>
  </si>
  <si>
    <t>Gün</t>
  </si>
  <si>
    <t>NOTLAR</t>
  </si>
  <si>
    <t>GENEL TOPLAM</t>
  </si>
  <si>
    <t>KDV ve Servis Bedeli Dahil Genel Toplam</t>
  </si>
  <si>
    <t>KDV Hariç Servis Bedeli Dahil Genel Toplam</t>
  </si>
  <si>
    <t>Gsk Personeli</t>
  </si>
  <si>
    <t>HCP</t>
  </si>
  <si>
    <t>Tarih</t>
  </si>
  <si>
    <t>Şehir</t>
  </si>
  <si>
    <t>Mekan</t>
  </si>
  <si>
    <t>Bölge</t>
  </si>
  <si>
    <t>Ekip</t>
  </si>
  <si>
    <t>DİĞER HİZMETLER</t>
  </si>
  <si>
    <t>Komisyon Oranı:</t>
  </si>
  <si>
    <t>Opsiyon Tarihi:</t>
  </si>
  <si>
    <t>Toplantı Saati:</t>
  </si>
  <si>
    <t>YEMEK ALANI</t>
  </si>
  <si>
    <t>MENÜ DETAYI</t>
  </si>
  <si>
    <t>Acente</t>
  </si>
  <si>
    <t>Acente Adı:</t>
  </si>
  <si>
    <t>OTOPARK ARAÇ LİSTESİ</t>
  </si>
  <si>
    <t>NO</t>
  </si>
  <si>
    <r>
      <t xml:space="preserve">Servis bedeli </t>
    </r>
    <r>
      <rPr>
        <b/>
        <i/>
        <sz val="10"/>
        <color rgb="FFFF0000"/>
        <rFont val="Arial"/>
        <family val="2"/>
      </rPr>
      <t>hariç</t>
    </r>
    <r>
      <rPr>
        <b/>
        <i/>
        <sz val="10"/>
        <color theme="1"/>
        <rFont val="Arial"/>
        <family val="2"/>
      </rPr>
      <t xml:space="preserve"> TL</t>
    </r>
  </si>
  <si>
    <t>ACENTA NOTLARI:</t>
  </si>
  <si>
    <t>Tüm plaka bilgilerini aşağıdaki tabloya yazınız</t>
  </si>
  <si>
    <t>Plaka</t>
  </si>
  <si>
    <t>Gsk Hekim - Staff Bilgi</t>
  </si>
  <si>
    <r>
      <rPr>
        <b/>
        <sz val="11"/>
        <color rgb="FFFF0000"/>
        <rFont val="Arial"/>
        <family val="2"/>
        <charset val="162"/>
      </rPr>
      <t>NOT:</t>
    </r>
    <r>
      <rPr>
        <sz val="11"/>
        <color theme="1"/>
        <rFont val="Arial"/>
        <family val="2"/>
        <charset val="162"/>
      </rPr>
      <t xml:space="preserve"> </t>
    </r>
  </si>
  <si>
    <t xml:space="preserve">HEKİM TOPLAM </t>
  </si>
  <si>
    <t>STAFF TOPLAM</t>
  </si>
  <si>
    <r>
      <t xml:space="preserve">Acente Servis Bedeli </t>
    </r>
    <r>
      <rPr>
        <b/>
        <i/>
        <sz val="10"/>
        <color rgb="FFFF0000"/>
        <rFont val="Arial"/>
        <family val="2"/>
      </rPr>
      <t>Hariç</t>
    </r>
    <r>
      <rPr>
        <b/>
        <i/>
        <sz val="10"/>
        <rFont val="Arial"/>
        <family val="2"/>
      </rPr>
      <t xml:space="preserve"> /
KDV </t>
    </r>
    <r>
      <rPr>
        <b/>
        <i/>
        <sz val="10"/>
        <color rgb="FFFF0000"/>
        <rFont val="Arial"/>
        <family val="2"/>
      </rPr>
      <t>Hariç</t>
    </r>
    <r>
      <rPr>
        <b/>
        <i/>
        <sz val="10"/>
        <rFont val="Arial"/>
        <family val="2"/>
      </rPr>
      <t xml:space="preserve"> Toplam TL </t>
    </r>
  </si>
  <si>
    <r>
      <t xml:space="preserve">Acente Servis Bedeli </t>
    </r>
    <r>
      <rPr>
        <b/>
        <i/>
        <sz val="10"/>
        <color rgb="FFFF0000"/>
        <rFont val="Arial"/>
        <family val="2"/>
      </rPr>
      <t>Dahil</t>
    </r>
    <r>
      <rPr>
        <b/>
        <i/>
        <sz val="10"/>
        <rFont val="Arial"/>
        <family val="2"/>
      </rPr>
      <t xml:space="preserve"> /
KDV </t>
    </r>
    <r>
      <rPr>
        <b/>
        <i/>
        <sz val="10"/>
        <color rgb="FFFF0000"/>
        <rFont val="Arial"/>
        <family val="2"/>
      </rPr>
      <t>Hariç</t>
    </r>
    <r>
      <rPr>
        <b/>
        <i/>
        <sz val="10"/>
        <rFont val="Arial"/>
        <family val="2"/>
      </rPr>
      <t xml:space="preserve"> Toplam TL </t>
    </r>
  </si>
  <si>
    <r>
      <t xml:space="preserve">Acente Servis Bedeli </t>
    </r>
    <r>
      <rPr>
        <b/>
        <i/>
        <sz val="10"/>
        <color rgb="FFFF0000"/>
        <rFont val="Arial"/>
        <family val="2"/>
      </rPr>
      <t>Dahil</t>
    </r>
    <r>
      <rPr>
        <b/>
        <i/>
        <sz val="10"/>
        <rFont val="Arial"/>
        <family val="2"/>
      </rPr>
      <t xml:space="preserve"> /
KDV </t>
    </r>
    <r>
      <rPr>
        <b/>
        <i/>
        <sz val="10"/>
        <color rgb="FFFF0000"/>
        <rFont val="Arial"/>
        <family val="2"/>
      </rPr>
      <t>Dahil</t>
    </r>
    <r>
      <rPr>
        <b/>
        <i/>
        <sz val="10"/>
        <rFont val="Arial"/>
        <family val="2"/>
      </rPr>
      <t xml:space="preserve"> Toplam TL</t>
    </r>
  </si>
  <si>
    <r>
      <t xml:space="preserve">Acente Servis Bedeli </t>
    </r>
    <r>
      <rPr>
        <b/>
        <i/>
        <sz val="10"/>
        <color rgb="FFFF0000"/>
        <rFont val="Arial"/>
        <family val="2"/>
      </rPr>
      <t>Dahil</t>
    </r>
    <r>
      <rPr>
        <b/>
        <i/>
        <sz val="10"/>
        <rFont val="Arial"/>
        <family val="2"/>
      </rPr>
      <t xml:space="preserve">
</t>
    </r>
    <r>
      <rPr>
        <b/>
        <i/>
        <sz val="9"/>
        <color theme="4"/>
        <rFont val="Arial"/>
        <family val="2"/>
      </rPr>
      <t>Servis Bedelini kontrol ederek güncelleyiniz</t>
    </r>
  </si>
  <si>
    <t>KONUŞMACI KONAKLAMA HİZMETİ</t>
  </si>
  <si>
    <t>KONUŞMACI ULAŞIM HİZMETLERİ</t>
  </si>
  <si>
    <t xml:space="preserve">HEKİM YİYECEK  SERVİSLERİ </t>
  </si>
  <si>
    <t xml:space="preserve">HEKİM İÇECEK SERVİSLERİ   </t>
  </si>
  <si>
    <t>STAFF YİYECEK SERVİSLERİ</t>
  </si>
  <si>
    <t>STAFF İÇECEK SERVİSLERİ</t>
  </si>
  <si>
    <t>KONUŞMACI KONAKLAMA TOPLAM</t>
  </si>
  <si>
    <t>KONUŞMACI ULAŞIM</t>
  </si>
  <si>
    <t>S.T.O.K. Mice</t>
  </si>
  <si>
    <r>
      <t xml:space="preserve">TOPLANTI SALONU
</t>
    </r>
    <r>
      <rPr>
        <b/>
        <sz val="11"/>
        <color rgb="FFFF0000"/>
        <rFont val="Arial"/>
        <family val="2"/>
      </rPr>
      <t>Salon adı :</t>
    </r>
    <r>
      <rPr>
        <b/>
        <sz val="11"/>
        <rFont val="Arial"/>
        <family val="2"/>
      </rPr>
      <t xml:space="preserve"> </t>
    </r>
  </si>
  <si>
    <t>18:00-20:30</t>
  </si>
  <si>
    <t>Specialty</t>
  </si>
  <si>
    <t>Gaga Restaurant</t>
  </si>
  <si>
    <t>Merlot - Harbiye Restaurant</t>
  </si>
  <si>
    <t>Eskişehir</t>
  </si>
  <si>
    <t>Prof.Dr.EMEL KURT</t>
  </si>
  <si>
    <t>Emin Çevik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</si>
</sst>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-&quot;₺&quot;* #,##0.00_-;\-&quot;₺&quot;* #,##0.00_-;_-&quot;₺&quot;* &quot;-&quot;??_-;_-@_-"/>
    <numFmt numFmtId="164" formatCode="&quot;₺&quot;#,##0.00_);\(&quot;₺&quot;#,##0.00\)"/>
    <numFmt numFmtId="165" formatCode="_-* #,##0.00\ [$TL-41F]_-;\-* #,##0.00\ [$TL-41F]_-;_-* &quot;-&quot;??\ [$TL-41F]_-;_-@_-"/>
    <numFmt numFmtId="166" formatCode="0.000"/>
    <numFmt numFmtId="167" formatCode="#,##0.00\ &quot;KDV&quot;"/>
    <numFmt numFmtId="168" formatCode="_-[$₺-41F]* #,##0.00_-;\-[$₺-41F]* #,##0.00_-;_-[$₺-41F]* &quot;-&quot;??_-;_-@_-"/>
    <numFmt numFmtId="169" formatCode="_-* #,##0.00\ &quot;TL&quot;_-;\-* #,##0.00\ &quot;TL&quot;_-;_-* &quot;-&quot;??\ &quot;TL&quot;_-;_-@_-"/>
    <numFmt numFmtId="170" formatCode="#,##0.00\ &quot;TL&quot;"/>
    <numFmt numFmtId="171" formatCode="[$TRL]\ #,##0.00;\-[$TRL]\ #,##0.00"/>
    <numFmt numFmtId="172" formatCode="[$EUR]\ #,##0.00;\-[$EUR]\ #,##0.00"/>
    <numFmt numFmtId="173" formatCode="0.0%"/>
  </numFmts>
  <fonts count="24" x14ac:knownFonts="1">
    <font>
      <sz val="11"/>
      <color theme="1"/>
      <name val="Aptos Narrow"/>
      <family val="2"/>
      <charset val="162"/>
      <scheme val="minor"/>
    </font>
    <font>
      <sz val="11"/>
      <name val="Arial"/>
      <family val="2"/>
      <charset val="162"/>
    </font>
    <font>
      <b/>
      <sz val="11"/>
      <name val="Arial"/>
      <family val="2"/>
      <charset val="162"/>
    </font>
    <font>
      <b/>
      <sz val="11"/>
      <name val="Arial"/>
      <family val="2"/>
    </font>
    <font>
      <sz val="11"/>
      <color indexed="8"/>
      <name val="Calibri"/>
      <family val="2"/>
      <charset val="162"/>
    </font>
    <font>
      <sz val="11"/>
      <color theme="1"/>
      <name val="Arial"/>
      <family val="2"/>
      <charset val="162"/>
    </font>
    <font>
      <i/>
      <sz val="11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i/>
      <sz val="11"/>
      <color indexed="8"/>
      <name val="Arial"/>
      <family val="2"/>
      <charset val="162"/>
    </font>
    <font>
      <b/>
      <sz val="11"/>
      <color indexed="8"/>
      <name val="Arial"/>
      <family val="2"/>
      <charset val="162"/>
    </font>
    <font>
      <b/>
      <sz val="11"/>
      <color theme="1"/>
      <name val="Arial"/>
      <family val="2"/>
    </font>
    <font>
      <sz val="8"/>
      <name val="Aptos Narrow"/>
      <family val="2"/>
      <charset val="162"/>
      <scheme val="minor"/>
    </font>
    <font>
      <b/>
      <i/>
      <sz val="11"/>
      <color rgb="FFFF0000"/>
      <name val="Arial"/>
      <family val="2"/>
      <charset val="162"/>
    </font>
    <font>
      <sz val="11"/>
      <color indexed="8"/>
      <name val="Arial"/>
      <family val="2"/>
      <charset val="162"/>
    </font>
    <font>
      <sz val="11"/>
      <color rgb="FFFF0000"/>
      <name val="Arial"/>
      <family val="2"/>
      <charset val="162"/>
    </font>
    <font>
      <b/>
      <sz val="11"/>
      <color rgb="FFFF0000"/>
      <name val="Arial"/>
      <family val="2"/>
      <charset val="162"/>
    </font>
    <font>
      <b/>
      <i/>
      <sz val="10"/>
      <color rgb="FFFF0000"/>
      <name val="Arial"/>
      <family val="2"/>
    </font>
    <font>
      <b/>
      <i/>
      <sz val="10"/>
      <color theme="1"/>
      <name val="Arial"/>
      <family val="2"/>
    </font>
    <font>
      <b/>
      <sz val="11"/>
      <color rgb="FFFF0000"/>
      <name val="Arial"/>
      <family val="2"/>
    </font>
    <font>
      <b/>
      <sz val="9"/>
      <color rgb="FFFF0000"/>
      <name val="Arial"/>
      <family val="2"/>
    </font>
    <font>
      <b/>
      <u/>
      <sz val="11"/>
      <name val="Arial"/>
      <family val="2"/>
      <charset val="162"/>
    </font>
    <font>
      <b/>
      <i/>
      <sz val="10"/>
      <name val="Arial"/>
      <family val="2"/>
    </font>
    <font>
      <b/>
      <i/>
      <sz val="9"/>
      <color theme="4"/>
      <name val="Arial"/>
      <family val="2"/>
    </font>
    <font>
      <b/>
      <sz val="11"/>
      <color rgb="FF000000"/>
      <name val="Arial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31"/>
      </patternFill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9" fontId="4" fillId="0" borderId="0" applyFont="0" applyFill="0" applyBorder="0" applyAlignment="0" applyProtection="0"/>
  </cellStyleXfs>
  <cellXfs count="117">
    <xf numFmtId="0" fontId="0" fillId="0" borderId="0" xfId="0"/>
    <xf numFmtId="0" fontId="1" fillId="0" borderId="0" xfId="0" applyFont="1" applyAlignment="1">
      <alignment vertical="center"/>
    </xf>
    <xf numFmtId="165" fontId="2" fillId="2" borderId="1" xfId="0" applyNumberFormat="1" applyFont="1" applyFill="1" applyBorder="1" applyAlignment="1">
      <alignment vertical="center"/>
    </xf>
    <xf numFmtId="165" fontId="2" fillId="2" borderId="0" xfId="0" applyNumberFormat="1" applyFont="1" applyFill="1" applyAlignment="1">
      <alignment vertical="center"/>
    </xf>
    <xf numFmtId="49" fontId="2" fillId="2" borderId="0" xfId="0" applyNumberFormat="1" applyFont="1" applyFill="1" applyAlignment="1">
      <alignment vertical="center"/>
    </xf>
    <xf numFmtId="14" fontId="1" fillId="0" borderId="0" xfId="0" applyNumberFormat="1" applyFont="1" applyAlignment="1">
      <alignment vertical="center"/>
    </xf>
    <xf numFmtId="165" fontId="2" fillId="2" borderId="2" xfId="0" applyNumberFormat="1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168" fontId="1" fillId="0" borderId="1" xfId="0" applyNumberFormat="1" applyFont="1" applyBorder="1" applyAlignment="1">
      <alignment vertical="center"/>
    </xf>
    <xf numFmtId="44" fontId="1" fillId="0" borderId="1" xfId="0" applyNumberFormat="1" applyFont="1" applyBorder="1" applyAlignment="1">
      <alignment vertical="center"/>
    </xf>
    <xf numFmtId="0" fontId="2" fillId="3" borderId="6" xfId="0" applyFont="1" applyFill="1" applyBorder="1" applyAlignment="1">
      <alignment vertical="center"/>
    </xf>
    <xf numFmtId="0" fontId="2" fillId="3" borderId="7" xfId="0" applyFont="1" applyFill="1" applyBorder="1" applyAlignment="1">
      <alignment vertical="center"/>
    </xf>
    <xf numFmtId="168" fontId="2" fillId="3" borderId="7" xfId="0" applyNumberFormat="1" applyFont="1" applyFill="1" applyBorder="1" applyAlignment="1">
      <alignment vertical="center"/>
    </xf>
    <xf numFmtId="165" fontId="2" fillId="3" borderId="9" xfId="0" applyNumberFormat="1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2" fillId="3" borderId="7" xfId="0" applyFont="1" applyFill="1" applyBorder="1" applyAlignment="1">
      <alignment horizontal="center" vertical="center"/>
    </xf>
    <xf numFmtId="165" fontId="2" fillId="3" borderId="9" xfId="0" applyNumberFormat="1" applyFont="1" applyFill="1" applyBorder="1" applyAlignment="1">
      <alignment horizontal="center" vertical="center"/>
    </xf>
    <xf numFmtId="2" fontId="1" fillId="0" borderId="0" xfId="0" applyNumberFormat="1" applyFont="1" applyAlignment="1">
      <alignment vertical="center"/>
    </xf>
    <xf numFmtId="2" fontId="1" fillId="0" borderId="1" xfId="0" applyNumberFormat="1" applyFont="1" applyBorder="1" applyAlignment="1">
      <alignment horizontal="center" vertical="center"/>
    </xf>
    <xf numFmtId="2" fontId="2" fillId="3" borderId="7" xfId="0" applyNumberFormat="1" applyFont="1" applyFill="1" applyBorder="1" applyAlignment="1">
      <alignment horizontal="center" vertical="center"/>
    </xf>
    <xf numFmtId="2" fontId="2" fillId="3" borderId="9" xfId="0" applyNumberFormat="1" applyFont="1" applyFill="1" applyBorder="1" applyAlignment="1">
      <alignment horizontal="center" vertical="center"/>
    </xf>
    <xf numFmtId="2" fontId="2" fillId="0" borderId="0" xfId="0" applyNumberFormat="1" applyFont="1" applyAlignment="1">
      <alignment vertical="center"/>
    </xf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horizontal="center"/>
    </xf>
    <xf numFmtId="164" fontId="1" fillId="0" borderId="1" xfId="0" applyNumberFormat="1" applyFont="1" applyBorder="1" applyAlignment="1">
      <alignment horizontal="right" vertical="center"/>
    </xf>
    <xf numFmtId="168" fontId="1" fillId="0" borderId="1" xfId="0" applyNumberFormat="1" applyFont="1" applyBorder="1" applyAlignment="1">
      <alignment horizontal="right" vertical="center"/>
    </xf>
    <xf numFmtId="165" fontId="2" fillId="3" borderId="8" xfId="0" applyNumberFormat="1" applyFont="1" applyFill="1" applyBorder="1" applyAlignment="1">
      <alignment horizontal="left" vertical="center"/>
    </xf>
    <xf numFmtId="0" fontId="12" fillId="0" borderId="1" xfId="0" applyFont="1" applyBorder="1" applyAlignment="1">
      <alignment vertical="center"/>
    </xf>
    <xf numFmtId="165" fontId="2" fillId="0" borderId="0" xfId="0" applyNumberFormat="1" applyFont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165" fontId="15" fillId="2" borderId="0" xfId="0" applyNumberFormat="1" applyFont="1" applyFill="1" applyAlignment="1">
      <alignment vertical="center"/>
    </xf>
    <xf numFmtId="0" fontId="1" fillId="2" borderId="5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/>
    </xf>
    <xf numFmtId="166" fontId="1" fillId="0" borderId="1" xfId="0" applyNumberFormat="1" applyFont="1" applyBorder="1" applyAlignment="1">
      <alignment horizontal="left" vertical="center"/>
    </xf>
    <xf numFmtId="171" fontId="1" fillId="0" borderId="1" xfId="0" applyNumberFormat="1" applyFont="1" applyBorder="1" applyAlignment="1">
      <alignment vertical="center"/>
    </xf>
    <xf numFmtId="0" fontId="14" fillId="0" borderId="1" xfId="0" applyFont="1" applyBorder="1" applyAlignment="1">
      <alignment vertical="center" wrapText="1"/>
    </xf>
    <xf numFmtId="0" fontId="1" fillId="0" borderId="0" xfId="0" applyFont="1" applyAlignment="1">
      <alignment horizontal="left" vertical="center"/>
    </xf>
    <xf numFmtId="0" fontId="15" fillId="0" borderId="1" xfId="0" applyFont="1" applyBorder="1" applyAlignment="1">
      <alignment horizontal="center" vertical="center"/>
    </xf>
    <xf numFmtId="0" fontId="2" fillId="3" borderId="7" xfId="0" applyFont="1" applyFill="1" applyBorder="1" applyAlignment="1">
      <alignment horizontal="left" vertical="center"/>
    </xf>
    <xf numFmtId="165" fontId="2" fillId="3" borderId="9" xfId="0" applyNumberFormat="1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1" fillId="0" borderId="10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4" fillId="2" borderId="5" xfId="0" applyFont="1" applyFill="1" applyBorder="1" applyAlignment="1">
      <alignment vertical="center" wrapText="1"/>
    </xf>
    <xf numFmtId="0" fontId="1" fillId="0" borderId="10" xfId="0" applyFont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15" fillId="0" borderId="10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left" vertical="center" wrapText="1"/>
    </xf>
    <xf numFmtId="0" fontId="14" fillId="6" borderId="1" xfId="0" applyFont="1" applyFill="1" applyBorder="1" applyAlignment="1">
      <alignment vertical="center" wrapText="1"/>
    </xf>
    <xf numFmtId="167" fontId="2" fillId="5" borderId="3" xfId="0" applyNumberFormat="1" applyFont="1" applyFill="1" applyBorder="1" applyAlignment="1">
      <alignment vertical="center"/>
    </xf>
    <xf numFmtId="165" fontId="21" fillId="2" borderId="3" xfId="0" applyNumberFormat="1" applyFont="1" applyFill="1" applyBorder="1" applyAlignment="1">
      <alignment horizontal="center" vertical="center" wrapText="1"/>
    </xf>
    <xf numFmtId="2" fontId="21" fillId="2" borderId="3" xfId="0" applyNumberFormat="1" applyFont="1" applyFill="1" applyBorder="1" applyAlignment="1">
      <alignment horizontal="center" vertical="center" wrapText="1"/>
    </xf>
    <xf numFmtId="165" fontId="17" fillId="2" borderId="3" xfId="0" applyNumberFormat="1" applyFont="1" applyFill="1" applyBorder="1" applyAlignment="1">
      <alignment horizontal="center" vertical="center" wrapText="1"/>
    </xf>
    <xf numFmtId="49" fontId="21" fillId="2" borderId="3" xfId="0" applyNumberFormat="1" applyFont="1" applyFill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right" vertical="center"/>
    </xf>
    <xf numFmtId="168" fontId="14" fillId="0" borderId="1" xfId="0" applyNumberFormat="1" applyFont="1" applyBorder="1" applyAlignment="1">
      <alignment horizontal="right" vertical="center"/>
    </xf>
    <xf numFmtId="168" fontId="14" fillId="0" borderId="1" xfId="0" applyNumberFormat="1" applyFont="1" applyBorder="1" applyAlignment="1">
      <alignment vertical="center"/>
    </xf>
    <xf numFmtId="0" fontId="14" fillId="6" borderId="2" xfId="0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/>
    </xf>
    <xf numFmtId="0" fontId="1" fillId="0" borderId="5" xfId="0" applyFont="1" applyBorder="1" applyAlignment="1">
      <alignment vertical="center" wrapText="1"/>
    </xf>
    <xf numFmtId="172" fontId="1" fillId="0" borderId="1" xfId="0" applyNumberFormat="1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5" fillId="0" borderId="2" xfId="0" applyFont="1" applyBorder="1" applyAlignment="1">
      <alignment horizontal="left" vertical="center" wrapText="1"/>
    </xf>
    <xf numFmtId="0" fontId="3" fillId="3" borderId="7" xfId="0" applyFont="1" applyFill="1" applyBorder="1" applyAlignment="1">
      <alignment horizontal="left" vertical="center"/>
    </xf>
    <xf numFmtId="16" fontId="15" fillId="0" borderId="1" xfId="0" applyNumberFormat="1" applyFont="1" applyBorder="1" applyAlignment="1">
      <alignment vertical="center" wrapText="1"/>
    </xf>
    <xf numFmtId="0" fontId="1" fillId="2" borderId="17" xfId="0" applyFont="1" applyFill="1" applyBorder="1" applyAlignment="1">
      <alignment vertical="center" wrapText="1"/>
    </xf>
    <xf numFmtId="0" fontId="12" fillId="0" borderId="1" xfId="0" applyFont="1" applyBorder="1" applyAlignment="1">
      <alignment vertical="center" wrapText="1"/>
    </xf>
    <xf numFmtId="0" fontId="20" fillId="5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readingOrder="1"/>
    </xf>
    <xf numFmtId="0" fontId="9" fillId="0" borderId="1" xfId="0" applyFont="1" applyBorder="1" applyAlignment="1">
      <alignment horizontal="center" vertical="center" wrapText="1" readingOrder="1"/>
    </xf>
    <xf numFmtId="0" fontId="13" fillId="0" borderId="1" xfId="0" applyFont="1" applyBorder="1" applyAlignment="1">
      <alignment horizontal="center" vertical="center" readingOrder="1"/>
    </xf>
    <xf numFmtId="20" fontId="9" fillId="0" borderId="1" xfId="0" applyNumberFormat="1" applyFont="1" applyBorder="1" applyAlignment="1">
      <alignment horizontal="center" vertical="center" readingOrder="1"/>
    </xf>
    <xf numFmtId="0" fontId="10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readingOrder="1"/>
    </xf>
    <xf numFmtId="14" fontId="3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70" fontId="8" fillId="0" borderId="1" xfId="0" applyNumberFormat="1" applyFont="1" applyBorder="1" applyAlignment="1">
      <alignment horizontal="center" vertical="center"/>
    </xf>
    <xf numFmtId="168" fontId="1" fillId="0" borderId="0" xfId="0" applyNumberFormat="1" applyFont="1" applyAlignment="1">
      <alignment vertical="center"/>
    </xf>
    <xf numFmtId="0" fontId="2" fillId="5" borderId="10" xfId="0" applyFont="1" applyFill="1" applyBorder="1" applyAlignment="1">
      <alignment horizontal="center" vertical="center"/>
    </xf>
    <xf numFmtId="0" fontId="2" fillId="5" borderId="11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3" fillId="5" borderId="10" xfId="0" applyFont="1" applyFill="1" applyBorder="1" applyAlignment="1">
      <alignment horizontal="center" vertical="center" wrapText="1"/>
    </xf>
    <xf numFmtId="0" fontId="3" fillId="5" borderId="11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173" fontId="15" fillId="4" borderId="16" xfId="0" applyNumberFormat="1" applyFont="1" applyFill="1" applyBorder="1" applyAlignment="1">
      <alignment horizontal="center" vertical="center" wrapText="1"/>
    </xf>
    <xf numFmtId="173" fontId="15" fillId="4" borderId="0" xfId="0" applyNumberFormat="1" applyFont="1" applyFill="1" applyAlignment="1">
      <alignment horizontal="center" vertical="center" wrapText="1"/>
    </xf>
    <xf numFmtId="2" fontId="1" fillId="0" borderId="10" xfId="0" applyNumberFormat="1" applyFont="1" applyBorder="1" applyAlignment="1">
      <alignment horizontal="center" vertical="center"/>
    </xf>
    <xf numFmtId="2" fontId="1" fillId="0" borderId="11" xfId="0" applyNumberFormat="1" applyFont="1" applyBorder="1" applyAlignment="1">
      <alignment horizontal="center" vertical="center"/>
    </xf>
    <xf numFmtId="2" fontId="1" fillId="0" borderId="12" xfId="0" applyNumberFormat="1" applyFont="1" applyBorder="1" applyAlignment="1">
      <alignment horizontal="center" vertical="center"/>
    </xf>
    <xf numFmtId="0" fontId="2" fillId="5" borderId="16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165" fontId="2" fillId="5" borderId="4" xfId="0" applyNumberFormat="1" applyFont="1" applyFill="1" applyBorder="1" applyAlignment="1">
      <alignment vertical="center" wrapText="1"/>
    </xf>
    <xf numFmtId="165" fontId="2" fillId="5" borderId="3" xfId="0" applyNumberFormat="1" applyFont="1" applyFill="1" applyBorder="1" applyAlignment="1">
      <alignment vertical="center" wrapText="1"/>
    </xf>
    <xf numFmtId="165" fontId="2" fillId="5" borderId="13" xfId="0" applyNumberFormat="1" applyFont="1" applyFill="1" applyBorder="1" applyAlignment="1">
      <alignment vertical="center" wrapText="1"/>
    </xf>
    <xf numFmtId="165" fontId="2" fillId="5" borderId="14" xfId="0" applyNumberFormat="1" applyFont="1" applyFill="1" applyBorder="1" applyAlignment="1">
      <alignment vertical="center" wrapText="1"/>
    </xf>
    <xf numFmtId="165" fontId="2" fillId="5" borderId="15" xfId="0" applyNumberFormat="1" applyFont="1" applyFill="1" applyBorder="1" applyAlignment="1">
      <alignment vertical="center" wrapText="1"/>
    </xf>
    <xf numFmtId="0" fontId="19" fillId="0" borderId="1" xfId="0" applyFont="1" applyBorder="1" applyAlignment="1">
      <alignment horizontal="center" vertical="center" wrapText="1"/>
    </xf>
    <xf numFmtId="0" fontId="3" fillId="5" borderId="10" xfId="0" applyFont="1" applyFill="1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left" vertical="center" wrapText="1"/>
    </xf>
    <xf numFmtId="20" fontId="2" fillId="0" borderId="1" xfId="0" applyNumberFormat="1" applyFont="1" applyBorder="1" applyAlignment="1">
      <alignment horizontal="left" vertical="center" shrinkToFit="1"/>
    </xf>
    <xf numFmtId="14" fontId="2" fillId="0" borderId="1" xfId="0" applyNumberFormat="1" applyFont="1" applyBorder="1" applyAlignment="1">
      <alignment horizontal="left" vertical="center" wrapText="1"/>
    </xf>
    <xf numFmtId="20" fontId="2" fillId="0" borderId="1" xfId="0" applyNumberFormat="1" applyFont="1" applyBorder="1" applyAlignment="1">
      <alignment horizontal="left" vertical="center" wrapText="1"/>
    </xf>
    <xf numFmtId="165" fontId="2" fillId="2" borderId="1" xfId="0" applyNumberFormat="1" applyFont="1" applyFill="1" applyBorder="1" applyAlignment="1">
      <alignment horizontal="left" vertical="center"/>
    </xf>
    <xf numFmtId="0" fontId="7" fillId="0" borderId="1" xfId="0" applyFont="1" applyBorder="1" applyAlignment="1">
      <alignment horizontal="left" vertical="center" shrinkToFit="1"/>
    </xf>
    <xf numFmtId="0" fontId="23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</cellXfs>
  <cellStyles count="2">
    <cellStyle name="Normal" xfId="0" builtinId="0"/>
    <cellStyle name="ParaBirimi 2" xfId="1" xr:uid="{00000000-0005-0000-0000-000001000000}"/>
  </cellStyles>
  <dxfs count="0"/>
  <tableStyles count="0" defaultTableStyle="TableStyleMedium2" defaultPivotStyle="PivotStyleLight16"/>
  <colors>
    <mruColors>
      <color rgb="FFFF3300"/>
      <color rgb="FF0000CC"/>
      <color rgb="FF00FF00"/>
      <color rgb="FF007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1"/>
  <dimension ref="B2:M5"/>
  <sheetViews>
    <sheetView showGridLines="0" zoomScale="80" zoomScaleNormal="80" zoomScaleSheetLayoutView="115" workbookViewId="0">
      <selection activeCell="B2" sqref="B2"/>
    </sheetView>
  </sheetViews>
  <sheetFormatPr baseColWidth="10" defaultColWidth="9.1640625" defaultRowHeight="14" x14ac:dyDescent="0.15"/>
  <cols>
    <col min="1" max="1" width="4.33203125" style="22" customWidth="1"/>
    <col min="2" max="2" width="14.83203125" style="22" customWidth="1"/>
    <col min="3" max="4" width="12.6640625" style="22" customWidth="1"/>
    <col min="5" max="5" width="18" style="22" customWidth="1"/>
    <col min="6" max="6" width="31" style="24" customWidth="1"/>
    <col min="7" max="7" width="15" style="24" customWidth="1"/>
    <col min="8" max="8" width="17.5" style="22" customWidth="1"/>
    <col min="9" max="9" width="12" style="24" customWidth="1"/>
    <col min="10" max="10" width="13.5" style="24" bestFit="1" customWidth="1"/>
    <col min="11" max="11" width="24.6640625" style="22" customWidth="1"/>
    <col min="12" max="12" width="26.5" style="22" customWidth="1"/>
    <col min="13" max="13" width="9.1640625" style="23"/>
    <col min="14" max="16384" width="9.1640625" style="22"/>
  </cols>
  <sheetData>
    <row r="2" spans="2:13" ht="64.5" customHeight="1" x14ac:dyDescent="0.15">
      <c r="B2" s="77" t="s">
        <v>27</v>
      </c>
      <c r="C2" s="78" t="s">
        <v>20</v>
      </c>
      <c r="D2" s="78" t="s">
        <v>19</v>
      </c>
      <c r="E2" s="78" t="s">
        <v>2</v>
      </c>
      <c r="F2" s="78" t="s">
        <v>18</v>
      </c>
      <c r="G2" s="78" t="s">
        <v>17</v>
      </c>
      <c r="H2" s="78" t="s">
        <v>16</v>
      </c>
      <c r="I2" s="78" t="s">
        <v>15</v>
      </c>
      <c r="J2" s="78" t="s">
        <v>14</v>
      </c>
      <c r="K2" s="78" t="s">
        <v>13</v>
      </c>
      <c r="L2" s="78" t="s">
        <v>12</v>
      </c>
    </row>
    <row r="3" spans="2:13" ht="30" x14ac:dyDescent="0.15">
      <c r="B3" s="79" t="s">
        <v>51</v>
      </c>
      <c r="C3" s="80" t="s">
        <v>54</v>
      </c>
      <c r="D3" s="81"/>
      <c r="E3" s="82" t="s">
        <v>53</v>
      </c>
      <c r="F3" s="83" t="s">
        <v>56</v>
      </c>
      <c r="G3" s="84" t="s">
        <v>57</v>
      </c>
      <c r="H3" s="85">
        <v>46155</v>
      </c>
      <c r="I3" s="86" t="s">
        <v>58</v>
      </c>
      <c r="J3" s="86" t="s">
        <v>59</v>
      </c>
      <c r="K3" s="87">
        <f>'Merlot - Harbiye Restaurant'!I38</f>
        <v>0</v>
      </c>
      <c r="L3" s="87">
        <f>'Merlot - Harbiye Restaurant'!J38</f>
        <v>0</v>
      </c>
    </row>
    <row r="4" spans="2:13" ht="30" x14ac:dyDescent="0.15">
      <c r="B4" s="79" t="s">
        <v>51</v>
      </c>
      <c r="C4" s="80" t="s">
        <v>54</v>
      </c>
      <c r="D4" s="81"/>
      <c r="E4" s="82" t="s">
        <v>53</v>
      </c>
      <c r="F4" s="83" t="s">
        <v>55</v>
      </c>
      <c r="G4" s="84" t="s">
        <v>57</v>
      </c>
      <c r="H4" s="85">
        <v>46155</v>
      </c>
      <c r="I4" s="86" t="s">
        <v>58</v>
      </c>
      <c r="J4" s="86" t="s">
        <v>59</v>
      </c>
      <c r="K4" s="87" t="e">
        <f>#REF!</f>
        <v>#REF!</v>
      </c>
      <c r="L4" s="87" t="e">
        <f>#REF!</f>
        <v>#REF!</v>
      </c>
    </row>
    <row r="5" spans="2:13" s="45" customFormat="1" ht="36.75" customHeight="1" x14ac:dyDescent="0.2">
      <c r="B5" s="116" t="s">
        <v>36</v>
      </c>
      <c r="C5" s="116"/>
      <c r="D5" s="116"/>
      <c r="E5" s="116"/>
      <c r="F5" s="116"/>
      <c r="G5" s="116"/>
      <c r="H5" s="116"/>
      <c r="I5" s="116"/>
      <c r="J5" s="116"/>
      <c r="K5" s="116"/>
      <c r="L5" s="116"/>
      <c r="M5" s="44"/>
    </row>
  </sheetData>
  <mergeCells count="1">
    <mergeCell ref="B5:L5"/>
  </mergeCells>
  <phoneticPr fontId="11" type="noConversion"/>
  <pageMargins left="0.7" right="0.7" top="0.75" bottom="0.75" header="0.3" footer="0.3"/>
  <pageSetup paperSize="9" scale="7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57062-DDF0-403A-A791-C5F092016808}">
  <dimension ref="A1:BE64"/>
  <sheetViews>
    <sheetView tabSelected="1" zoomScale="80" zoomScaleNormal="80" workbookViewId="0"/>
  </sheetViews>
  <sheetFormatPr baseColWidth="10" defaultColWidth="41.5" defaultRowHeight="22.5" customHeight="1" x14ac:dyDescent="0.2"/>
  <cols>
    <col min="1" max="1" width="41.5" style="1" customWidth="1"/>
    <col min="2" max="2" width="20.1640625" style="39" customWidth="1"/>
    <col min="3" max="3" width="6.6640625" style="17" customWidth="1"/>
    <col min="4" max="4" width="15.5" style="1" customWidth="1"/>
    <col min="5" max="5" width="16.5" style="1" bestFit="1" customWidth="1"/>
    <col min="6" max="6" width="10.33203125" style="1" customWidth="1"/>
    <col min="7" max="7" width="12.83203125" style="1" customWidth="1"/>
    <col min="8" max="8" width="17.5" style="1" customWidth="1"/>
    <col min="9" max="9" width="17.6640625" style="1" bestFit="1" customWidth="1"/>
    <col min="10" max="10" width="18" style="1" customWidth="1"/>
    <col min="11" max="11" width="48.1640625" style="1" customWidth="1"/>
    <col min="12" max="13" width="32.5" style="1" customWidth="1"/>
    <col min="14" max="16384" width="41.5" style="1"/>
  </cols>
  <sheetData>
    <row r="1" spans="1:57" ht="14" x14ac:dyDescent="0.2"/>
    <row r="2" spans="1:57" ht="51.75" customHeight="1" x14ac:dyDescent="0.2">
      <c r="A2" s="2" t="s">
        <v>0</v>
      </c>
      <c r="B2" s="109"/>
      <c r="C2" s="109"/>
      <c r="D2" s="109"/>
      <c r="E2" s="3"/>
      <c r="F2" s="4"/>
      <c r="G2" s="4"/>
      <c r="H2" s="3"/>
      <c r="I2" s="3"/>
      <c r="J2" s="3"/>
    </row>
    <row r="3" spans="1:57" ht="19.5" customHeight="1" x14ac:dyDescent="0.2">
      <c r="A3" s="2" t="s">
        <v>1</v>
      </c>
      <c r="B3" s="111"/>
      <c r="C3" s="111"/>
      <c r="D3" s="111"/>
      <c r="E3" s="3"/>
      <c r="F3" s="3"/>
      <c r="G3" s="3"/>
      <c r="H3" s="4"/>
      <c r="I3" s="4"/>
      <c r="J3" s="3"/>
      <c r="M3" s="5"/>
    </row>
    <row r="4" spans="1:57" ht="19.5" customHeight="1" x14ac:dyDescent="0.2">
      <c r="A4" s="2" t="s">
        <v>23</v>
      </c>
      <c r="B4" s="110"/>
      <c r="C4" s="110"/>
      <c r="D4" s="110"/>
      <c r="E4" s="95"/>
      <c r="F4" s="96"/>
      <c r="G4" s="96"/>
      <c r="H4" s="96"/>
      <c r="I4" s="96"/>
      <c r="J4" s="3"/>
      <c r="M4" s="5"/>
    </row>
    <row r="5" spans="1:57" ht="19.25" customHeight="1" x14ac:dyDescent="0.2">
      <c r="A5" s="2" t="s">
        <v>24</v>
      </c>
      <c r="B5" s="111"/>
      <c r="C5" s="111"/>
      <c r="D5" s="111"/>
      <c r="E5" s="4"/>
      <c r="F5" s="4"/>
      <c r="G5" s="3"/>
      <c r="H5" s="4"/>
      <c r="I5" s="4"/>
      <c r="J5" s="3"/>
      <c r="M5" s="5"/>
    </row>
    <row r="6" spans="1:57" ht="19.5" customHeight="1" x14ac:dyDescent="0.2">
      <c r="A6" s="2" t="s">
        <v>4</v>
      </c>
      <c r="B6" s="114"/>
      <c r="C6" s="114"/>
      <c r="D6" s="114"/>
      <c r="E6" s="3"/>
      <c r="F6" s="4"/>
      <c r="G6" s="3"/>
      <c r="H6" s="4"/>
      <c r="I6" s="4"/>
      <c r="J6" s="3"/>
    </row>
    <row r="7" spans="1:57" ht="19.5" customHeight="1" x14ac:dyDescent="0.2">
      <c r="A7" s="2" t="s">
        <v>28</v>
      </c>
      <c r="B7" s="112"/>
      <c r="C7" s="112"/>
      <c r="D7" s="112"/>
      <c r="E7" s="3"/>
      <c r="F7" s="4"/>
      <c r="G7" s="3"/>
      <c r="H7" s="4"/>
      <c r="I7" s="4"/>
      <c r="J7" s="3"/>
      <c r="M7" s="5"/>
    </row>
    <row r="8" spans="1:57" ht="19.5" customHeight="1" x14ac:dyDescent="0.2">
      <c r="A8" s="2" t="s">
        <v>3</v>
      </c>
      <c r="B8" s="113"/>
      <c r="C8" s="113"/>
      <c r="D8" s="113"/>
      <c r="E8" s="3"/>
      <c r="F8" s="4"/>
      <c r="G8" s="3"/>
      <c r="H8" s="4"/>
      <c r="I8" s="4"/>
      <c r="J8" s="3"/>
      <c r="M8" s="5"/>
    </row>
    <row r="9" spans="1:57" ht="19.5" customHeight="1" x14ac:dyDescent="0.2">
      <c r="A9" s="6" t="s">
        <v>5</v>
      </c>
      <c r="B9" s="115"/>
      <c r="C9" s="115"/>
      <c r="D9" s="115"/>
      <c r="E9" s="33"/>
      <c r="F9" s="4"/>
      <c r="G9" s="4"/>
      <c r="H9" s="29"/>
      <c r="I9" s="3"/>
      <c r="J9" s="3"/>
    </row>
    <row r="10" spans="1:57" s="7" customFormat="1" ht="19.5" customHeight="1" x14ac:dyDescent="0.2">
      <c r="A10" s="6" t="s">
        <v>22</v>
      </c>
      <c r="B10" s="36"/>
      <c r="C10" s="97"/>
      <c r="D10" s="98"/>
      <c r="E10" s="98"/>
      <c r="F10" s="98"/>
      <c r="G10" s="98"/>
      <c r="H10" s="98"/>
      <c r="I10" s="98"/>
      <c r="J10" s="99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</row>
    <row r="11" spans="1:57" ht="75" customHeight="1" x14ac:dyDescent="0.2">
      <c r="A11" s="56"/>
      <c r="B11" s="59" t="s">
        <v>6</v>
      </c>
      <c r="C11" s="60" t="s">
        <v>7</v>
      </c>
      <c r="D11" s="61" t="s">
        <v>31</v>
      </c>
      <c r="E11" s="59" t="s">
        <v>42</v>
      </c>
      <c r="F11" s="62" t="s">
        <v>8</v>
      </c>
      <c r="G11" s="62" t="s">
        <v>9</v>
      </c>
      <c r="H11" s="62" t="s">
        <v>39</v>
      </c>
      <c r="I11" s="62" t="s">
        <v>40</v>
      </c>
      <c r="J11" s="62" t="s">
        <v>41</v>
      </c>
      <c r="K11" s="57"/>
      <c r="L11" s="14"/>
      <c r="M11" s="14"/>
    </row>
    <row r="12" spans="1:57" ht="21" customHeight="1" x14ac:dyDescent="0.2">
      <c r="A12" s="102" t="s">
        <v>45</v>
      </c>
      <c r="B12" s="103"/>
      <c r="C12" s="103"/>
      <c r="D12" s="103"/>
      <c r="E12" s="103"/>
      <c r="F12" s="103"/>
      <c r="G12" s="103"/>
      <c r="H12" s="103"/>
      <c r="I12" s="103"/>
      <c r="J12" s="58">
        <v>1.1000000000000001</v>
      </c>
      <c r="K12" s="40" t="s">
        <v>10</v>
      </c>
    </row>
    <row r="13" spans="1:57" ht="42" customHeight="1" x14ac:dyDescent="0.2">
      <c r="A13" s="30"/>
      <c r="B13" s="37"/>
      <c r="C13" s="18"/>
      <c r="D13" s="25"/>
      <c r="E13" s="26"/>
      <c r="F13" s="31"/>
      <c r="G13" s="31"/>
      <c r="H13" s="8"/>
      <c r="I13" s="8"/>
      <c r="J13" s="9"/>
      <c r="K13" s="38"/>
    </row>
    <row r="14" spans="1:57" ht="42" customHeight="1" x14ac:dyDescent="0.2">
      <c r="A14" s="75"/>
      <c r="B14" s="37"/>
      <c r="C14" s="18"/>
      <c r="D14" s="25"/>
      <c r="E14" s="26"/>
      <c r="F14" s="31"/>
      <c r="G14" s="31"/>
      <c r="H14" s="8"/>
      <c r="I14" s="8"/>
      <c r="J14" s="9"/>
      <c r="K14" s="76"/>
    </row>
    <row r="15" spans="1:57" ht="37.75" customHeight="1" x14ac:dyDescent="0.2">
      <c r="A15" s="102" t="s">
        <v>46</v>
      </c>
      <c r="B15" s="103"/>
      <c r="C15" s="103"/>
      <c r="D15" s="103"/>
      <c r="E15" s="103"/>
      <c r="F15" s="103"/>
      <c r="G15" s="103"/>
      <c r="H15" s="103"/>
      <c r="I15" s="103"/>
      <c r="J15" s="58">
        <v>1.2</v>
      </c>
      <c r="K15" s="40"/>
    </row>
    <row r="16" spans="1:57" ht="42" customHeight="1" x14ac:dyDescent="0.2">
      <c r="A16" s="30"/>
      <c r="B16" s="37"/>
      <c r="C16" s="18"/>
      <c r="D16" s="25"/>
      <c r="E16" s="26"/>
      <c r="F16" s="31"/>
      <c r="G16" s="31"/>
      <c r="H16" s="8"/>
      <c r="I16" s="8"/>
      <c r="J16" s="9"/>
      <c r="K16" s="38"/>
    </row>
    <row r="17" spans="1:11" ht="21.75" customHeight="1" thickBot="1" x14ac:dyDescent="0.25">
      <c r="A17" s="10" t="s">
        <v>37</v>
      </c>
      <c r="B17" s="41"/>
      <c r="C17" s="19"/>
      <c r="D17" s="15"/>
      <c r="E17" s="11"/>
      <c r="F17" s="15"/>
      <c r="G17" s="15"/>
      <c r="H17" s="12">
        <f>SUM(H13:H14)+SUM(H16)</f>
        <v>0</v>
      </c>
      <c r="I17" s="12">
        <f>SUM(I13:I14)+SUM(I16)</f>
        <v>0</v>
      </c>
      <c r="J17" s="12">
        <f>SUM(J13:J14)+SUM(J16)</f>
        <v>0</v>
      </c>
      <c r="K17" s="8"/>
    </row>
    <row r="18" spans="1:11" ht="21" customHeight="1" x14ac:dyDescent="0.2">
      <c r="A18" s="102" t="s">
        <v>47</v>
      </c>
      <c r="B18" s="103"/>
      <c r="C18" s="103"/>
      <c r="D18" s="103"/>
      <c r="E18" s="103"/>
      <c r="F18" s="103"/>
      <c r="G18" s="103"/>
      <c r="H18" s="103"/>
      <c r="I18" s="103"/>
      <c r="J18" s="58">
        <v>1.1000000000000001</v>
      </c>
      <c r="K18" s="40"/>
    </row>
    <row r="19" spans="1:11" ht="42" customHeight="1" x14ac:dyDescent="0.2">
      <c r="A19" s="30"/>
      <c r="B19" s="37"/>
      <c r="C19" s="18"/>
      <c r="D19" s="25"/>
      <c r="E19" s="26"/>
      <c r="F19" s="31"/>
      <c r="G19" s="31"/>
      <c r="H19" s="8"/>
      <c r="I19" s="8"/>
      <c r="J19" s="9"/>
      <c r="K19" s="38"/>
    </row>
    <row r="20" spans="1:11" ht="42" customHeight="1" x14ac:dyDescent="0.2">
      <c r="A20" s="75"/>
      <c r="B20" s="37"/>
      <c r="C20" s="18"/>
      <c r="D20" s="25"/>
      <c r="E20" s="26"/>
      <c r="F20" s="31"/>
      <c r="G20" s="31"/>
      <c r="H20" s="8"/>
      <c r="I20" s="8"/>
      <c r="J20" s="9"/>
      <c r="K20" s="76"/>
    </row>
    <row r="21" spans="1:11" ht="21" customHeight="1" x14ac:dyDescent="0.2">
      <c r="A21" s="102" t="s">
        <v>48</v>
      </c>
      <c r="B21" s="103"/>
      <c r="C21" s="103"/>
      <c r="D21" s="103"/>
      <c r="E21" s="103"/>
      <c r="F21" s="103"/>
      <c r="G21" s="103"/>
      <c r="H21" s="103"/>
      <c r="I21" s="103"/>
      <c r="J21" s="58">
        <v>1.2</v>
      </c>
      <c r="K21" s="40"/>
    </row>
    <row r="22" spans="1:11" ht="42" customHeight="1" x14ac:dyDescent="0.2">
      <c r="A22" s="30"/>
      <c r="B22" s="37"/>
      <c r="C22" s="18"/>
      <c r="D22" s="25"/>
      <c r="E22" s="26"/>
      <c r="F22" s="31"/>
      <c r="G22" s="31"/>
      <c r="H22" s="8"/>
      <c r="I22" s="8"/>
      <c r="J22" s="9"/>
      <c r="K22" s="38"/>
    </row>
    <row r="23" spans="1:11" ht="21.75" customHeight="1" thickBot="1" x14ac:dyDescent="0.25">
      <c r="A23" s="10" t="s">
        <v>38</v>
      </c>
      <c r="B23" s="41"/>
      <c r="C23" s="19"/>
      <c r="D23" s="15"/>
      <c r="E23" s="11"/>
      <c r="F23" s="15"/>
      <c r="G23" s="15"/>
      <c r="H23" s="12">
        <f>SUM(H19:H20)+SUM(H22)</f>
        <v>0</v>
      </c>
      <c r="I23" s="12">
        <f>SUM(I19:I20)+SUM(I22)</f>
        <v>0</v>
      </c>
      <c r="J23" s="12">
        <f>SUM(J19:J20)+SUM(J22)</f>
        <v>0</v>
      </c>
      <c r="K23" s="8"/>
    </row>
    <row r="24" spans="1:11" ht="22.5" customHeight="1" x14ac:dyDescent="0.2">
      <c r="A24" s="102" t="s">
        <v>43</v>
      </c>
      <c r="B24" s="103"/>
      <c r="C24" s="103"/>
      <c r="D24" s="103"/>
      <c r="E24" s="103"/>
      <c r="F24" s="103"/>
      <c r="G24" s="103"/>
      <c r="H24" s="103"/>
      <c r="I24" s="103"/>
      <c r="J24" s="58">
        <v>1.1000000000000001</v>
      </c>
      <c r="K24" s="52"/>
    </row>
    <row r="25" spans="1:11" ht="65.25" customHeight="1" x14ac:dyDescent="0.2">
      <c r="A25" s="69"/>
      <c r="B25" s="70"/>
      <c r="C25" s="18"/>
      <c r="D25" s="25"/>
      <c r="E25" s="26"/>
      <c r="F25" s="71"/>
      <c r="G25" s="71"/>
      <c r="H25" s="8"/>
      <c r="I25" s="8"/>
      <c r="J25" s="9"/>
      <c r="K25" s="72"/>
    </row>
    <row r="26" spans="1:11" ht="33" customHeight="1" x14ac:dyDescent="0.2">
      <c r="A26" s="69"/>
      <c r="B26" s="70"/>
      <c r="C26" s="18"/>
      <c r="D26" s="25"/>
      <c r="E26" s="26"/>
      <c r="F26" s="71"/>
      <c r="G26" s="71"/>
      <c r="H26" s="8"/>
      <c r="I26" s="8"/>
      <c r="J26" s="9"/>
      <c r="K26" s="72"/>
    </row>
    <row r="27" spans="1:11" ht="27" customHeight="1" thickBot="1" x14ac:dyDescent="0.25">
      <c r="A27" s="10" t="s">
        <v>49</v>
      </c>
      <c r="B27" s="73"/>
      <c r="C27" s="19"/>
      <c r="D27" s="15"/>
      <c r="E27" s="11"/>
      <c r="F27" s="15"/>
      <c r="G27" s="15"/>
      <c r="H27" s="12">
        <f>SUM(H25:H26)</f>
        <v>0</v>
      </c>
      <c r="I27" s="12">
        <f>SUM(I25:I26)</f>
        <v>0</v>
      </c>
      <c r="J27" s="12">
        <f>SUM(J25:J26)</f>
        <v>0</v>
      </c>
      <c r="K27" s="8"/>
    </row>
    <row r="28" spans="1:11" ht="21.75" customHeight="1" x14ac:dyDescent="0.2">
      <c r="A28" s="102" t="s">
        <v>44</v>
      </c>
      <c r="B28" s="103"/>
      <c r="C28" s="103"/>
      <c r="D28" s="103"/>
      <c r="E28" s="103"/>
      <c r="F28" s="103"/>
      <c r="G28" s="103"/>
      <c r="H28" s="103"/>
      <c r="I28" s="103"/>
      <c r="J28" s="58">
        <v>1.2</v>
      </c>
      <c r="K28" s="8"/>
    </row>
    <row r="29" spans="1:11" ht="51.75" customHeight="1" x14ac:dyDescent="0.2">
      <c r="A29" s="34"/>
      <c r="B29" s="8"/>
      <c r="C29" s="18"/>
      <c r="D29" s="25"/>
      <c r="E29" s="26"/>
      <c r="F29" s="35"/>
      <c r="G29" s="35"/>
      <c r="H29" s="8"/>
      <c r="I29" s="8"/>
      <c r="J29" s="9"/>
      <c r="K29" s="74"/>
    </row>
    <row r="30" spans="1:11" ht="21.75" customHeight="1" thickBot="1" x14ac:dyDescent="0.25">
      <c r="A30" s="10" t="s">
        <v>50</v>
      </c>
      <c r="B30" s="73"/>
      <c r="C30" s="19"/>
      <c r="D30" s="15"/>
      <c r="E30" s="11"/>
      <c r="F30" s="15"/>
      <c r="G30" s="15"/>
      <c r="H30" s="12">
        <f>SUM(H29:H29)</f>
        <v>0</v>
      </c>
      <c r="I30" s="12">
        <f>SUM(I29:I29)</f>
        <v>0</v>
      </c>
      <c r="J30" s="12">
        <f>SUM(J29:J29)</f>
        <v>0</v>
      </c>
      <c r="K30" s="8"/>
    </row>
    <row r="31" spans="1:11" ht="21.75" customHeight="1" x14ac:dyDescent="0.2">
      <c r="A31" s="104" t="s">
        <v>21</v>
      </c>
      <c r="B31" s="105"/>
      <c r="C31" s="105"/>
      <c r="D31" s="105"/>
      <c r="E31" s="105"/>
      <c r="F31" s="105"/>
      <c r="G31" s="105"/>
      <c r="H31" s="105"/>
      <c r="I31" s="106"/>
      <c r="J31" s="58">
        <v>1.2</v>
      </c>
      <c r="K31" s="8"/>
    </row>
    <row r="32" spans="1:11" ht="42" customHeight="1" x14ac:dyDescent="0.2">
      <c r="A32" s="34"/>
      <c r="B32" s="8"/>
      <c r="C32" s="18"/>
      <c r="D32" s="25"/>
      <c r="E32" s="26"/>
      <c r="F32" s="35"/>
      <c r="G32" s="35"/>
      <c r="H32" s="8"/>
      <c r="I32" s="8"/>
      <c r="J32" s="9"/>
      <c r="K32" s="28"/>
    </row>
    <row r="33" spans="1:11" ht="42" customHeight="1" x14ac:dyDescent="0.2">
      <c r="A33" s="34"/>
      <c r="B33" s="8"/>
      <c r="C33" s="18"/>
      <c r="D33" s="25"/>
      <c r="E33" s="26"/>
      <c r="F33" s="35"/>
      <c r="G33" s="35"/>
      <c r="H33" s="8"/>
      <c r="I33" s="8"/>
      <c r="J33" s="9"/>
      <c r="K33" s="28"/>
    </row>
    <row r="34" spans="1:11" ht="42" customHeight="1" x14ac:dyDescent="0.2">
      <c r="A34" s="34"/>
      <c r="B34" s="8"/>
      <c r="C34" s="18"/>
      <c r="D34" s="25"/>
      <c r="E34" s="26"/>
      <c r="F34" s="35"/>
      <c r="G34" s="35"/>
      <c r="H34" s="8"/>
      <c r="I34" s="8"/>
      <c r="J34" s="9"/>
      <c r="K34" s="76"/>
    </row>
    <row r="35" spans="1:11" ht="42" customHeight="1" x14ac:dyDescent="0.2">
      <c r="A35" s="34"/>
      <c r="B35" s="8"/>
      <c r="C35" s="18"/>
      <c r="D35" s="25"/>
      <c r="E35" s="26"/>
      <c r="F35" s="55"/>
      <c r="G35" s="35"/>
      <c r="H35" s="8"/>
      <c r="I35" s="8"/>
      <c r="J35" s="9"/>
      <c r="K35" s="38"/>
    </row>
    <row r="36" spans="1:11" ht="42" customHeight="1" x14ac:dyDescent="0.2">
      <c r="A36" s="48"/>
      <c r="B36" s="66"/>
      <c r="C36" s="63"/>
      <c r="D36" s="64"/>
      <c r="E36" s="65"/>
      <c r="F36" s="67"/>
      <c r="G36" s="68"/>
      <c r="H36" s="66"/>
      <c r="I36" s="66"/>
      <c r="J36" s="66"/>
      <c r="K36" s="38"/>
    </row>
    <row r="37" spans="1:11" ht="20.25" customHeight="1" thickBot="1" x14ac:dyDescent="0.25">
      <c r="A37" s="10"/>
      <c r="B37" s="41"/>
      <c r="C37" s="19"/>
      <c r="D37" s="15"/>
      <c r="E37" s="11"/>
      <c r="F37" s="15"/>
      <c r="G37" s="15"/>
      <c r="H37" s="12">
        <f>SUM(H32:H36)</f>
        <v>0</v>
      </c>
      <c r="I37" s="12">
        <f>SUM(I32:I36)</f>
        <v>0</v>
      </c>
      <c r="J37" s="12">
        <f>SUM(J32:J36)</f>
        <v>0</v>
      </c>
      <c r="K37" s="8"/>
    </row>
    <row r="38" spans="1:11" ht="22.5" customHeight="1" thickBot="1" x14ac:dyDescent="0.25">
      <c r="A38" s="27" t="s">
        <v>11</v>
      </c>
      <c r="B38" s="42"/>
      <c r="C38" s="20"/>
      <c r="D38" s="16"/>
      <c r="E38" s="13"/>
      <c r="F38" s="13"/>
      <c r="G38" s="13"/>
      <c r="H38" s="12">
        <f>H17+H23+H37+H27+H30</f>
        <v>0</v>
      </c>
      <c r="I38" s="12">
        <f>I17+I23+I37+I27+I30</f>
        <v>0</v>
      </c>
      <c r="J38" s="12">
        <f>J17+J23+J37+J27+J30</f>
        <v>0</v>
      </c>
    </row>
    <row r="39" spans="1:11" ht="14" x14ac:dyDescent="0.2">
      <c r="B39" s="1"/>
      <c r="C39" s="1"/>
    </row>
    <row r="40" spans="1:11" ht="14" x14ac:dyDescent="0.2">
      <c r="A40" s="32" t="s">
        <v>32</v>
      </c>
      <c r="H40" s="88"/>
      <c r="I40" s="88">
        <f>I38-H38</f>
        <v>0</v>
      </c>
    </row>
    <row r="41" spans="1:11" ht="14" x14ac:dyDescent="0.2">
      <c r="A41" s="32"/>
    </row>
    <row r="42" spans="1:11" ht="57.5" customHeight="1" x14ac:dyDescent="0.2">
      <c r="B42" s="43"/>
      <c r="C42" s="21"/>
      <c r="I42" s="107" t="s">
        <v>33</v>
      </c>
      <c r="J42" s="107"/>
      <c r="K42" s="107"/>
    </row>
    <row r="43" spans="1:11" ht="36" customHeight="1" x14ac:dyDescent="0.2">
      <c r="A43" s="92" t="s">
        <v>52</v>
      </c>
      <c r="B43" s="93"/>
      <c r="C43" s="94"/>
      <c r="E43" s="100" t="s">
        <v>26</v>
      </c>
      <c r="F43" s="101"/>
      <c r="G43" s="101"/>
      <c r="I43" s="108" t="s">
        <v>29</v>
      </c>
      <c r="J43" s="94"/>
      <c r="K43" s="54"/>
    </row>
    <row r="44" spans="1:11" ht="15" x14ac:dyDescent="0.2">
      <c r="I44" s="52" t="s">
        <v>30</v>
      </c>
      <c r="J44" s="51" t="s">
        <v>34</v>
      </c>
      <c r="K44" s="53" t="s">
        <v>35</v>
      </c>
    </row>
    <row r="45" spans="1:11" ht="22.5" customHeight="1" x14ac:dyDescent="0.2">
      <c r="A45"/>
      <c r="E45" s="14"/>
      <c r="I45" s="47">
        <v>1</v>
      </c>
      <c r="J45" s="46"/>
      <c r="K45" s="49"/>
    </row>
    <row r="46" spans="1:11" ht="22.5" customHeight="1" x14ac:dyDescent="0.2">
      <c r="I46" s="47">
        <v>2</v>
      </c>
      <c r="J46" s="46"/>
      <c r="K46" s="49"/>
    </row>
    <row r="47" spans="1:11" ht="22.5" customHeight="1" x14ac:dyDescent="0.2">
      <c r="I47" s="47">
        <v>3</v>
      </c>
      <c r="J47" s="46"/>
      <c r="K47" s="49"/>
    </row>
    <row r="48" spans="1:11" ht="22.5" customHeight="1" x14ac:dyDescent="0.2">
      <c r="E48" s="14"/>
      <c r="I48" s="47">
        <v>4</v>
      </c>
      <c r="J48" s="46"/>
      <c r="K48" s="49"/>
    </row>
    <row r="49" spans="1:11" ht="22.5" customHeight="1" x14ac:dyDescent="0.2">
      <c r="I49" s="47">
        <v>5</v>
      </c>
      <c r="J49" s="46"/>
      <c r="K49" s="49"/>
    </row>
    <row r="50" spans="1:11" ht="22.5" customHeight="1" x14ac:dyDescent="0.2">
      <c r="E50" s="14"/>
      <c r="I50" s="47">
        <v>6</v>
      </c>
      <c r="J50" s="46"/>
      <c r="K50" s="49"/>
    </row>
    <row r="51" spans="1:11" ht="22.5" customHeight="1" x14ac:dyDescent="0.2">
      <c r="E51" s="14"/>
      <c r="I51" s="47">
        <v>7</v>
      </c>
      <c r="J51" s="46"/>
      <c r="K51" s="49"/>
    </row>
    <row r="52" spans="1:11" ht="22.5" customHeight="1" x14ac:dyDescent="0.2">
      <c r="E52" s="14"/>
      <c r="I52" s="47">
        <v>8</v>
      </c>
      <c r="J52" s="46"/>
      <c r="K52" s="49"/>
    </row>
    <row r="53" spans="1:11" ht="22.5" customHeight="1" x14ac:dyDescent="0.2">
      <c r="I53" s="47">
        <v>9</v>
      </c>
      <c r="J53" s="46"/>
      <c r="K53" s="49"/>
    </row>
    <row r="54" spans="1:11" ht="22.5" customHeight="1" x14ac:dyDescent="0.2">
      <c r="I54" s="47">
        <v>10</v>
      </c>
      <c r="J54" s="7"/>
      <c r="K54" s="47"/>
    </row>
    <row r="55" spans="1:11" ht="22.5" customHeight="1" x14ac:dyDescent="0.2">
      <c r="I55" s="47">
        <v>11</v>
      </c>
      <c r="J55" s="7"/>
      <c r="K55" s="47"/>
    </row>
    <row r="56" spans="1:11" ht="22.5" customHeight="1" x14ac:dyDescent="0.2">
      <c r="E56" s="14"/>
      <c r="I56" s="47">
        <v>12</v>
      </c>
      <c r="J56" s="7"/>
      <c r="K56" s="47"/>
    </row>
    <row r="57" spans="1:11" ht="22.5" customHeight="1" x14ac:dyDescent="0.2">
      <c r="I57" s="47">
        <v>13</v>
      </c>
      <c r="J57" s="7"/>
      <c r="K57" s="47"/>
    </row>
    <row r="58" spans="1:11" ht="22.5" customHeight="1" x14ac:dyDescent="0.2">
      <c r="A58" s="89" t="s">
        <v>25</v>
      </c>
      <c r="B58" s="90"/>
      <c r="C58" s="91"/>
      <c r="I58" s="47">
        <v>14</v>
      </c>
      <c r="J58" s="7"/>
      <c r="K58" s="47"/>
    </row>
    <row r="59" spans="1:11" ht="22.5" customHeight="1" x14ac:dyDescent="0.2">
      <c r="I59" s="47">
        <v>15</v>
      </c>
      <c r="J59" s="7"/>
      <c r="K59" s="47"/>
    </row>
    <row r="60" spans="1:11" ht="22.5" customHeight="1" x14ac:dyDescent="0.2">
      <c r="A60" s="50"/>
      <c r="I60" s="47">
        <v>16</v>
      </c>
      <c r="J60" s="7"/>
      <c r="K60" s="47"/>
    </row>
    <row r="61" spans="1:11" ht="22.5" customHeight="1" x14ac:dyDescent="0.2">
      <c r="E61" s="14"/>
      <c r="I61" s="47">
        <v>17</v>
      </c>
      <c r="J61" s="7"/>
      <c r="K61" s="47"/>
    </row>
    <row r="62" spans="1:11" ht="22.5" customHeight="1" x14ac:dyDescent="0.2">
      <c r="I62" s="47">
        <v>18</v>
      </c>
      <c r="J62" s="7"/>
      <c r="K62" s="47"/>
    </row>
    <row r="63" spans="1:11" ht="22.5" customHeight="1" x14ac:dyDescent="0.2">
      <c r="I63" s="47">
        <v>19</v>
      </c>
      <c r="J63" s="7"/>
      <c r="K63" s="47"/>
    </row>
    <row r="64" spans="1:11" ht="22.5" customHeight="1" x14ac:dyDescent="0.2">
      <c r="I64" s="47">
        <v>20</v>
      </c>
      <c r="J64" s="7"/>
      <c r="K64" s="47"/>
    </row>
  </sheetData>
  <mergeCells count="22">
    <mergeCell ref="B2:D2"/>
    <mergeCell ref="B4:D4"/>
    <mergeCell ref="A12:I12"/>
    <mergeCell ref="A15:I15"/>
    <mergeCell ref="A18:I18"/>
    <mergeCell ref="B3:D3"/>
    <mergeCell ref="B5:D5"/>
    <mergeCell ref="B7:D7"/>
    <mergeCell ref="B8:D8"/>
    <mergeCell ref="B6:D6"/>
    <mergeCell ref="B9:D9"/>
    <mergeCell ref="A58:C58"/>
    <mergeCell ref="A43:C43"/>
    <mergeCell ref="E4:I4"/>
    <mergeCell ref="C10:J10"/>
    <mergeCell ref="E43:G43"/>
    <mergeCell ref="A21:I21"/>
    <mergeCell ref="A31:I31"/>
    <mergeCell ref="I42:K42"/>
    <mergeCell ref="I43:J43"/>
    <mergeCell ref="A24:I24"/>
    <mergeCell ref="A28:I28"/>
  </mergeCells>
  <phoneticPr fontId="11" type="noConversion"/>
  <pageMargins left="0.7" right="0.7" top="0.75" bottom="0.75" header="0.3" footer="0.3"/>
  <pageSetup paperSize="9" orientation="portrait" verticalDpi="300" r:id="rId1"/>
</worksheet>
</file>

<file path=docMetadata/LabelInfo.xml><?xml version="1.0" encoding="utf-8"?>
<clbl:labelList xmlns:clbl="http://schemas.microsoft.com/office/2020/mipLabelMetadata">
  <clbl:label id="{0df3522f-8c42-44b0-bea3-7f162a60ea50}" enabled="1" method="Standard" siteId="{63982aff-fb6c-4c22-973b-70e4acfb63e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Çalışma Sayfaları</vt:lpstr>
      </vt:variant>
      <vt:variant>
        <vt:i4>2</vt:i4>
      </vt:variant>
      <vt:variant>
        <vt:lpstr>Adlandırılmış Aralıklar</vt:lpstr>
      </vt:variant>
      <vt:variant>
        <vt:i4>1</vt:i4>
      </vt:variant>
    </vt:vector>
  </HeadingPairs>
  <TitlesOfParts>
    <vt:vector size="3" baseType="lpstr">
      <vt:lpstr>TEKLİF ÖZETİ</vt:lpstr>
      <vt:lpstr>Merlot - Harbiye Restaurant</vt:lpstr>
      <vt:lpstr>'TEKLİF ÖZETİ'!Yazdırma_Alanı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Cagdas COLAK</dc:creator>
  <cp:lastModifiedBy>Ergun Piji / S.T.O.K. MICE</cp:lastModifiedBy>
  <dcterms:created xsi:type="dcterms:W3CDTF">2024-01-22T13:32:35Z</dcterms:created>
  <dcterms:modified xsi:type="dcterms:W3CDTF">2026-06-02T12:04:37Z</dcterms:modified>
</cp:coreProperties>
</file>