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MertYıldızSTOKMICE\Desktop\"/>
    </mc:Choice>
  </mc:AlternateContent>
  <xr:revisionPtr revIDLastSave="0" documentId="13_ncr:1_{236DD5CC-FDA9-4A99-84D0-D757058F2D4B}" xr6:coauthVersionLast="47" xr6:coauthVersionMax="47" xr10:uidLastSave="{00000000-0000-0000-0000-000000000000}"/>
  <bookViews>
    <workbookView xWindow="28680" yWindow="-120" windowWidth="29040" windowHeight="16440" tabRatio="879" activeTab="1" xr2:uid="{00000000-000D-0000-FFFF-FFFF00000000}"/>
  </bookViews>
  <sheets>
    <sheet name="TEKLİF ÖZETİ" sheetId="2" r:id="rId1"/>
    <sheet name="Örnek" sheetId="13" r:id="rId2"/>
  </sheets>
  <definedNames>
    <definedName name="_xlnm.Print_Area" localSheetId="0">'TEKLİF ÖZETİ'!$A$2:$M$2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3" l="1"/>
  <c r="I29" i="13" s="1"/>
  <c r="D29" i="13"/>
  <c r="H29" i="13" s="1"/>
  <c r="H30" i="13" s="1"/>
  <c r="E26" i="13"/>
  <c r="I26" i="13" s="1"/>
  <c r="E25" i="13"/>
  <c r="I25" i="13" s="1"/>
  <c r="D25" i="13"/>
  <c r="H25" i="13" s="1"/>
  <c r="J25" i="13" l="1"/>
  <c r="J29" i="13"/>
  <c r="J30" i="13" s="1"/>
  <c r="I27" i="13"/>
  <c r="I30" i="13"/>
  <c r="D26" i="13"/>
  <c r="H26" i="13" s="1"/>
  <c r="H27" i="13" s="1"/>
  <c r="J26" i="13" l="1"/>
  <c r="J27" i="13" s="1"/>
  <c r="E34" i="13"/>
  <c r="I34" i="13" s="1"/>
  <c r="D34" i="13"/>
  <c r="H34" i="13" s="1"/>
  <c r="E33" i="13"/>
  <c r="I33" i="13" s="1"/>
  <c r="D33" i="13"/>
  <c r="H33" i="13" s="1"/>
  <c r="E32" i="13"/>
  <c r="I32" i="13" s="1"/>
  <c r="D32" i="13"/>
  <c r="H32" i="13" s="1"/>
  <c r="H35" i="13"/>
  <c r="E22" i="13"/>
  <c r="I22" i="13" s="1"/>
  <c r="D22" i="13"/>
  <c r="H22" i="13" s="1"/>
  <c r="E20" i="13"/>
  <c r="I20" i="13" s="1"/>
  <c r="D20" i="13"/>
  <c r="H20" i="13" s="1"/>
  <c r="E19" i="13"/>
  <c r="I19" i="13" s="1"/>
  <c r="D19" i="13"/>
  <c r="H19" i="13" s="1"/>
  <c r="E16" i="13"/>
  <c r="I16" i="13" s="1"/>
  <c r="D16" i="13"/>
  <c r="H16" i="13" s="1"/>
  <c r="E14" i="13"/>
  <c r="I14" i="13" s="1"/>
  <c r="D14" i="13"/>
  <c r="H14" i="13" s="1"/>
  <c r="E13" i="13"/>
  <c r="I13" i="13" s="1"/>
  <c r="D13" i="13"/>
  <c r="H13" i="13" s="1"/>
  <c r="J13" i="13" l="1"/>
  <c r="I35" i="13"/>
  <c r="J20" i="13"/>
  <c r="J22" i="13"/>
  <c r="J32" i="13"/>
  <c r="J33" i="13"/>
  <c r="J14" i="13"/>
  <c r="J34" i="13"/>
  <c r="J19" i="13"/>
  <c r="J16" i="13"/>
  <c r="J35" i="13"/>
  <c r="I23" i="13"/>
  <c r="I17" i="13"/>
  <c r="H23" i="13"/>
  <c r="H17" i="13"/>
  <c r="J17" i="13" l="1"/>
  <c r="J23" i="13"/>
  <c r="I36" i="13"/>
  <c r="K3" i="2" s="1"/>
  <c r="H36" i="13"/>
  <c r="J36" i="13"/>
  <c r="L3" i="2" l="1"/>
</calcChain>
</file>

<file path=xl/sharedStrings.xml><?xml version="1.0" encoding="utf-8"?>
<sst xmlns="http://schemas.openxmlformats.org/spreadsheetml/2006/main" count="68" uniqueCount="66">
  <si>
    <t>Toplantı Adı:</t>
  </si>
  <si>
    <t xml:space="preserve">Toplantı Tarih: </t>
  </si>
  <si>
    <t>Toplantı Saati</t>
  </si>
  <si>
    <t>GSK Grup:</t>
  </si>
  <si>
    <t>Mekan Adı:</t>
  </si>
  <si>
    <t>Yetkili Kişi:</t>
  </si>
  <si>
    <t>Servis Bedeli Hariç</t>
  </si>
  <si>
    <t>Kur</t>
  </si>
  <si>
    <t>Kişi/
Adet</t>
  </si>
  <si>
    <t>Gün</t>
  </si>
  <si>
    <t>NOTLAR</t>
  </si>
  <si>
    <t>GENEL TOPLAM</t>
  </si>
  <si>
    <t>KDV ve Servis Bedeli Dahil Genel Toplam</t>
  </si>
  <si>
    <t>KDV Hariç Servis Bedeli Dahil Genel Toplam</t>
  </si>
  <si>
    <t>Gsk Personeli</t>
  </si>
  <si>
    <t>HCP</t>
  </si>
  <si>
    <t>Tarih</t>
  </si>
  <si>
    <t>Şehir</t>
  </si>
  <si>
    <t>Mekan</t>
  </si>
  <si>
    <t>Bölge</t>
  </si>
  <si>
    <t>Ekip</t>
  </si>
  <si>
    <t>DİĞER HİZMETLER</t>
  </si>
  <si>
    <t>Komisyon Oranı:</t>
  </si>
  <si>
    <t>Opsiyon Tarihi:</t>
  </si>
  <si>
    <t>Toplantı Saati:</t>
  </si>
  <si>
    <t>Kurabiyeli Kahve Molası - 1 Kez</t>
  </si>
  <si>
    <t xml:space="preserve">Limitli Yerli Alkol - 2 Ad. </t>
  </si>
  <si>
    <t>YEMEK ALANI</t>
  </si>
  <si>
    <t>MENÜ DETAYI</t>
  </si>
  <si>
    <t>Acente</t>
  </si>
  <si>
    <t xml:space="preserve">Akşam Yemeği - Menü 1 </t>
  </si>
  <si>
    <t>Acente Adı:</t>
  </si>
  <si>
    <t>OTOPARK ARAÇ LİSTESİ</t>
  </si>
  <si>
    <t>NO</t>
  </si>
  <si>
    <r>
      <t xml:space="preserve">Servis bedeli </t>
    </r>
    <r>
      <rPr>
        <b/>
        <i/>
        <sz val="10"/>
        <color rgb="FFFF0000"/>
        <rFont val="Arial"/>
        <family val="2"/>
      </rPr>
      <t>hariç</t>
    </r>
    <r>
      <rPr>
        <b/>
        <i/>
        <sz val="10"/>
        <color theme="1"/>
        <rFont val="Arial"/>
        <family val="2"/>
      </rPr>
      <t xml:space="preserve"> TL</t>
    </r>
  </si>
  <si>
    <t>Otopark HEKİM</t>
  </si>
  <si>
    <t>Otopark STAFF</t>
  </si>
  <si>
    <t>ACENTA NOTLARI:</t>
  </si>
  <si>
    <t>Tüm plaka bilgilerini aşağıdaki tabloya yazınız</t>
  </si>
  <si>
    <t>Plaka</t>
  </si>
  <si>
    <t>Gsk Hekim - Staff Bilgi</t>
  </si>
  <si>
    <t>Toplantı Salonu resim ekleyiniz</t>
  </si>
  <si>
    <t>Yemek salonu resim ekleyiniz</t>
  </si>
  <si>
    <t xml:space="preserve">Akşam Yemeği </t>
  </si>
  <si>
    <r>
      <rPr>
        <b/>
        <sz val="11"/>
        <color rgb="FFFF0000"/>
        <rFont val="Arial"/>
        <family val="2"/>
        <charset val="162"/>
      </rPr>
      <t>NOT:</t>
    </r>
    <r>
      <rPr>
        <sz val="11"/>
        <color theme="1"/>
        <rFont val="Arial"/>
        <family val="2"/>
        <charset val="162"/>
      </rPr>
      <t xml:space="preserve"> </t>
    </r>
  </si>
  <si>
    <r>
      <t xml:space="preserve">TOPLANTI SALONU
</t>
    </r>
    <r>
      <rPr>
        <b/>
        <sz val="11"/>
        <color rgb="FFFF0000"/>
        <rFont val="Arial"/>
        <family val="2"/>
      </rPr>
      <t>Salon adı :</t>
    </r>
  </si>
  <si>
    <t xml:space="preserve">HEKİM TOPLAM </t>
  </si>
  <si>
    <t>STAFF TOPLAM</t>
  </si>
  <si>
    <r>
      <t xml:space="preserve">Acente Servis Bedeli </t>
    </r>
    <r>
      <rPr>
        <b/>
        <i/>
        <sz val="10"/>
        <color rgb="FFFF0000"/>
        <rFont val="Arial"/>
        <family val="2"/>
      </rPr>
      <t>Hariç</t>
    </r>
    <r>
      <rPr>
        <b/>
        <i/>
        <sz val="10"/>
        <rFont val="Arial"/>
        <family val="2"/>
      </rPr>
      <t xml:space="preserve"> /
KDV </t>
    </r>
    <r>
      <rPr>
        <b/>
        <i/>
        <sz val="10"/>
        <color rgb="FFFF0000"/>
        <rFont val="Arial"/>
        <family val="2"/>
      </rPr>
      <t>Hariç</t>
    </r>
    <r>
      <rPr>
        <b/>
        <i/>
        <sz val="10"/>
        <rFont val="Arial"/>
        <family val="2"/>
      </rPr>
      <t xml:space="preserve"> Toplam TL </t>
    </r>
  </si>
  <si>
    <r>
      <t xml:space="preserve">Acente Servis Bedeli </t>
    </r>
    <r>
      <rPr>
        <b/>
        <i/>
        <sz val="10"/>
        <color rgb="FFFF0000"/>
        <rFont val="Arial"/>
        <family val="2"/>
      </rPr>
      <t>Dahil</t>
    </r>
    <r>
      <rPr>
        <b/>
        <i/>
        <sz val="10"/>
        <rFont val="Arial"/>
        <family val="2"/>
      </rPr>
      <t xml:space="preserve"> /
KDV </t>
    </r>
    <r>
      <rPr>
        <b/>
        <i/>
        <sz val="10"/>
        <color rgb="FFFF0000"/>
        <rFont val="Arial"/>
        <family val="2"/>
      </rPr>
      <t>Hariç</t>
    </r>
    <r>
      <rPr>
        <b/>
        <i/>
        <sz val="10"/>
        <rFont val="Arial"/>
        <family val="2"/>
      </rPr>
      <t xml:space="preserve"> Toplam TL </t>
    </r>
  </si>
  <si>
    <r>
      <t xml:space="preserve">Acente Servis Bedeli </t>
    </r>
    <r>
      <rPr>
        <b/>
        <i/>
        <sz val="10"/>
        <color rgb="FFFF0000"/>
        <rFont val="Arial"/>
        <family val="2"/>
      </rPr>
      <t>Dahil</t>
    </r>
    <r>
      <rPr>
        <b/>
        <i/>
        <sz val="10"/>
        <rFont val="Arial"/>
        <family val="2"/>
      </rPr>
      <t xml:space="preserve"> /
KDV </t>
    </r>
    <r>
      <rPr>
        <b/>
        <i/>
        <sz val="10"/>
        <color rgb="FFFF0000"/>
        <rFont val="Arial"/>
        <family val="2"/>
      </rPr>
      <t>Dahil</t>
    </r>
    <r>
      <rPr>
        <b/>
        <i/>
        <sz val="10"/>
        <rFont val="Arial"/>
        <family val="2"/>
      </rPr>
      <t xml:space="preserve"> Toplam TL</t>
    </r>
  </si>
  <si>
    <r>
      <t xml:space="preserve">Acente Servis Bedeli </t>
    </r>
    <r>
      <rPr>
        <b/>
        <i/>
        <sz val="10"/>
        <color rgb="FFFF0000"/>
        <rFont val="Arial"/>
        <family val="2"/>
      </rPr>
      <t>Dahil</t>
    </r>
    <r>
      <rPr>
        <b/>
        <i/>
        <sz val="10"/>
        <rFont val="Arial"/>
        <family val="2"/>
      </rPr>
      <t xml:space="preserve">
</t>
    </r>
    <r>
      <rPr>
        <b/>
        <i/>
        <sz val="9"/>
        <color theme="4"/>
        <rFont val="Arial"/>
        <family val="2"/>
      </rPr>
      <t>Servis Bedelini kontrol ederek güncelleyiniz</t>
    </r>
  </si>
  <si>
    <t>Host /Hostes</t>
  </si>
  <si>
    <t>Kurabiyeli Kahve Molası salon kirası dahil</t>
  </si>
  <si>
    <t xml:space="preserve">Konaklama -  SNG </t>
  </si>
  <si>
    <t>Konaklama Vergisi</t>
  </si>
  <si>
    <t>KONUŞMACI KONAKLAMA HİZMETİ</t>
  </si>
  <si>
    <t>KONUŞMACI ULAŞIM HİZMETLERİ</t>
  </si>
  <si>
    <t>Çift Yön havalimanı transferi (Şehr belirtiniz)</t>
  </si>
  <si>
    <t xml:space="preserve">HEKİM YİYECEK  SERVİSLERİ </t>
  </si>
  <si>
    <t xml:space="preserve">HEKİM İÇECEK SERVİSLERİ   </t>
  </si>
  <si>
    <t>STAFF YİYECEK SERVİSLERİ</t>
  </si>
  <si>
    <t>STAFF İÇECEK SERVİSLERİ</t>
  </si>
  <si>
    <t>KONUŞMACI KONAKLAMA TOPLAM</t>
  </si>
  <si>
    <t>KONUŞMACI ULAŞIM</t>
  </si>
  <si>
    <t>S.T.O.K. MICE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</si>
</sst>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₺&quot;* #,##0.00_-;\-&quot;₺&quot;* #,##0.00_-;_-&quot;₺&quot;* &quot;-&quot;??_-;_-@_-"/>
    <numFmt numFmtId="164" formatCode="&quot;₺&quot;#,##0.00_);\(&quot;₺&quot;#,##0.00\)"/>
    <numFmt numFmtId="165" formatCode="_-* #,##0.00\ [$TL-41F]_-;\-* #,##0.00\ [$TL-41F]_-;_-* &quot;-&quot;??\ [$TL-41F]_-;_-@_-"/>
    <numFmt numFmtId="166" formatCode="0.000"/>
    <numFmt numFmtId="167" formatCode="#,##0.00\ &quot;KDV&quot;"/>
    <numFmt numFmtId="168" formatCode="_-[$₺-41F]* #,##0.00_-;\-[$₺-41F]* #,##0.00_-;_-[$₺-41F]* &quot;-&quot;??_-;_-@_-"/>
    <numFmt numFmtId="169" formatCode="_-* #,##0.00\ &quot;TL&quot;_-;\-* #,##0.00\ &quot;TL&quot;_-;_-* &quot;-&quot;??\ &quot;TL&quot;_-;_-@_-"/>
    <numFmt numFmtId="170" formatCode="#,##0.00\ &quot;TL&quot;"/>
    <numFmt numFmtId="171" formatCode="[$EUR]\ #,##0.00;\-[$EUR]\ #,##0.00"/>
  </numFmts>
  <fonts count="25" x14ac:knownFonts="1">
    <font>
      <sz val="11"/>
      <color theme="1"/>
      <name val="Aptos Narrow"/>
      <family val="2"/>
      <charset val="162"/>
      <scheme val="minor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b/>
      <sz val="11"/>
      <name val="Arial"/>
      <family val="2"/>
    </font>
    <font>
      <sz val="11"/>
      <color indexed="8"/>
      <name val="Calibri"/>
      <family val="2"/>
      <charset val="162"/>
    </font>
    <font>
      <sz val="11"/>
      <color theme="1"/>
      <name val="Arial"/>
      <family val="2"/>
      <charset val="162"/>
    </font>
    <font>
      <i/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i/>
      <sz val="11"/>
      <color indexed="8"/>
      <name val="Arial"/>
      <family val="2"/>
      <charset val="162"/>
    </font>
    <font>
      <b/>
      <sz val="11"/>
      <color indexed="8"/>
      <name val="Arial"/>
      <family val="2"/>
      <charset val="162"/>
    </font>
    <font>
      <b/>
      <sz val="11"/>
      <color theme="1"/>
      <name val="Arial"/>
      <family val="2"/>
    </font>
    <font>
      <sz val="8"/>
      <name val="Aptos Narrow"/>
      <family val="2"/>
      <charset val="162"/>
      <scheme val="minor"/>
    </font>
    <font>
      <sz val="11"/>
      <color indexed="8"/>
      <name val="Arial"/>
      <family val="2"/>
      <charset val="162"/>
    </font>
    <font>
      <sz val="11"/>
      <color rgb="FFFF0000"/>
      <name val="Arial"/>
      <family val="2"/>
      <charset val="162"/>
    </font>
    <font>
      <b/>
      <sz val="11"/>
      <color rgb="FFFF000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0"/>
      <color rgb="FF000000"/>
      <name val="Aptos"/>
      <family val="2"/>
      <charset val="162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rgb="FFFF0000"/>
      <name val="Arial"/>
      <family val="2"/>
    </font>
    <font>
      <b/>
      <u/>
      <sz val="11"/>
      <name val="Arial"/>
      <family val="2"/>
      <charset val="162"/>
    </font>
    <font>
      <b/>
      <i/>
      <sz val="10"/>
      <name val="Arial"/>
      <family val="2"/>
    </font>
    <font>
      <b/>
      <i/>
      <sz val="9"/>
      <color theme="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9" fontId="4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 applyAlignment="1">
      <alignment vertical="center"/>
    </xf>
    <xf numFmtId="165" fontId="2" fillId="2" borderId="1" xfId="0" applyNumberFormat="1" applyFont="1" applyFill="1" applyBorder="1" applyAlignment="1">
      <alignment vertical="center"/>
    </xf>
    <xf numFmtId="165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14" fontId="1" fillId="0" borderId="0" xfId="0" applyNumberFormat="1" applyFont="1" applyAlignment="1">
      <alignment vertical="center"/>
    </xf>
    <xf numFmtId="165" fontId="2" fillId="2" borderId="2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8" fontId="1" fillId="0" borderId="1" xfId="0" applyNumberFormat="1" applyFont="1" applyBorder="1" applyAlignment="1">
      <alignment vertical="center"/>
    </xf>
    <xf numFmtId="44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5" fontId="14" fillId="2" borderId="0" xfId="0" applyNumberFormat="1" applyFont="1" applyFill="1" applyAlignment="1">
      <alignment vertical="center"/>
    </xf>
    <xf numFmtId="166" fontId="1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vertical="center" wrapText="1"/>
    </xf>
    <xf numFmtId="2" fontId="13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right" vertical="center"/>
    </xf>
    <xf numFmtId="168" fontId="13" fillId="0" borderId="1" xfId="0" applyNumberFormat="1" applyFont="1" applyBorder="1" applyAlignment="1">
      <alignment horizontal="right" vertical="center"/>
    </xf>
    <xf numFmtId="168" fontId="13" fillId="0" borderId="1" xfId="0" applyNumberFormat="1" applyFont="1" applyBorder="1" applyAlignment="1">
      <alignment vertical="center"/>
    </xf>
    <xf numFmtId="171" fontId="1" fillId="0" borderId="1" xfId="0" applyNumberFormat="1" applyFont="1" applyBorder="1" applyAlignment="1">
      <alignment vertical="center"/>
    </xf>
    <xf numFmtId="16" fontId="14" fillId="0" borderId="1" xfId="0" applyNumberFormat="1" applyFont="1" applyBorder="1" applyAlignment="1">
      <alignment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readingOrder="1"/>
    </xf>
    <xf numFmtId="0" fontId="12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readingOrder="1"/>
    </xf>
    <xf numFmtId="20" fontId="9" fillId="0" borderId="1" xfId="0" applyNumberFormat="1" applyFont="1" applyBorder="1" applyAlignment="1">
      <alignment horizontal="center" vertical="center" readingOrder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readingOrder="1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0" fontId="8" fillId="0" borderId="1" xfId="0" applyNumberFormat="1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66" fontId="14" fillId="4" borderId="6" xfId="0" applyNumberFormat="1" applyFont="1" applyFill="1" applyBorder="1" applyAlignment="1">
      <alignment horizontal="center" vertical="center" wrapText="1"/>
    </xf>
    <xf numFmtId="166" fontId="14" fillId="4" borderId="0" xfId="0" applyNumberFormat="1" applyFont="1" applyFill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left" vertical="center" wrapText="1"/>
    </xf>
    <xf numFmtId="20" fontId="15" fillId="0" borderId="1" xfId="0" applyNumberFormat="1" applyFont="1" applyBorder="1" applyAlignment="1">
      <alignment horizontal="left" vertical="center" shrinkToFit="1"/>
    </xf>
    <xf numFmtId="14" fontId="15" fillId="0" borderId="1" xfId="0" applyNumberFormat="1" applyFont="1" applyBorder="1" applyAlignment="1">
      <alignment horizontal="left" vertical="center" wrapText="1"/>
    </xf>
    <xf numFmtId="20" fontId="15" fillId="0" borderId="1" xfId="0" applyNumberFormat="1" applyFont="1" applyBorder="1" applyAlignment="1">
      <alignment horizontal="left" vertical="center" wrapText="1"/>
    </xf>
    <xf numFmtId="165" fontId="15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 shrinkToFit="1"/>
    </xf>
    <xf numFmtId="0" fontId="1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2" fillId="5" borderId="1" xfId="0" applyNumberFormat="1" applyFont="1" applyFill="1" applyBorder="1" applyAlignment="1">
      <alignment vertical="center" wrapText="1"/>
    </xf>
    <xf numFmtId="167" fontId="2" fillId="5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left" vertical="center"/>
    </xf>
    <xf numFmtId="165" fontId="2" fillId="3" borderId="8" xfId="0" applyNumberFormat="1" applyFont="1" applyFill="1" applyBorder="1" applyAlignment="1">
      <alignment horizontal="left" vertical="center"/>
    </xf>
    <xf numFmtId="2" fontId="2" fillId="3" borderId="8" xfId="0" applyNumberFormat="1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vertical="center"/>
    </xf>
    <xf numFmtId="168" fontId="2" fillId="3" borderId="9" xfId="0" applyNumberFormat="1" applyFont="1" applyFill="1" applyBorder="1" applyAlignment="1">
      <alignment vertical="center"/>
    </xf>
    <xf numFmtId="165" fontId="23" fillId="2" borderId="1" xfId="0" applyNumberFormat="1" applyFont="1" applyFill="1" applyBorder="1" applyAlignment="1">
      <alignment horizontal="center" vertical="center" wrapText="1"/>
    </xf>
    <xf numFmtId="2" fontId="23" fillId="2" borderId="1" xfId="0" applyNumberFormat="1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araBirimi 2" xfId="1" xr:uid="{00000000-0005-0000-0000-000001000000}"/>
  </cellStyles>
  <dxfs count="0"/>
  <tableStyles count="0" defaultTableStyle="TableStyleMedium2" defaultPivotStyle="PivotStyleLight16"/>
  <colors>
    <mruColors>
      <color rgb="FFFF3300"/>
      <color rgb="FF0000CC"/>
      <color rgb="FF00FF0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B2:M4"/>
  <sheetViews>
    <sheetView showGridLines="0" zoomScale="80" zoomScaleNormal="80" zoomScaleSheetLayoutView="115" workbookViewId="0">
      <selection activeCell="K9" sqref="K9"/>
    </sheetView>
  </sheetViews>
  <sheetFormatPr defaultColWidth="9.08984375" defaultRowHeight="14.5" x14ac:dyDescent="0.35"/>
  <cols>
    <col min="1" max="1" width="4.36328125" style="14" customWidth="1"/>
    <col min="2" max="2" width="14.90625" style="14" customWidth="1"/>
    <col min="3" max="4" width="12.6328125" style="14" customWidth="1"/>
    <col min="5" max="5" width="18" style="14" customWidth="1"/>
    <col min="6" max="6" width="31" style="16" customWidth="1"/>
    <col min="7" max="7" width="15" style="16" customWidth="1"/>
    <col min="8" max="8" width="17.54296875" style="14" customWidth="1"/>
    <col min="9" max="9" width="12" style="16" customWidth="1"/>
    <col min="10" max="10" width="13.453125" style="16" bestFit="1" customWidth="1"/>
    <col min="11" max="11" width="24.6328125" style="14" customWidth="1"/>
    <col min="12" max="12" width="26.453125" style="14" customWidth="1"/>
    <col min="13" max="13" width="9.08984375" style="15"/>
    <col min="14" max="16384" width="9.08984375" style="14"/>
  </cols>
  <sheetData>
    <row r="2" spans="2:13" ht="64.5" customHeight="1" x14ac:dyDescent="0.35">
      <c r="B2" s="45" t="s">
        <v>29</v>
      </c>
      <c r="C2" s="46" t="s">
        <v>20</v>
      </c>
      <c r="D2" s="46" t="s">
        <v>19</v>
      </c>
      <c r="E2" s="46" t="s">
        <v>2</v>
      </c>
      <c r="F2" s="46" t="s">
        <v>18</v>
      </c>
      <c r="G2" s="46" t="s">
        <v>17</v>
      </c>
      <c r="H2" s="46" t="s">
        <v>16</v>
      </c>
      <c r="I2" s="46" t="s">
        <v>15</v>
      </c>
      <c r="J2" s="46" t="s">
        <v>14</v>
      </c>
      <c r="K2" s="46" t="s">
        <v>13</v>
      </c>
      <c r="L2" s="46" t="s">
        <v>12</v>
      </c>
    </row>
    <row r="3" spans="2:13" x14ac:dyDescent="0.35">
      <c r="B3" s="47" t="s">
        <v>65</v>
      </c>
      <c r="C3" s="48"/>
      <c r="D3" s="49"/>
      <c r="E3" s="50"/>
      <c r="F3" s="51"/>
      <c r="G3" s="52"/>
      <c r="H3" s="53"/>
      <c r="I3" s="54"/>
      <c r="J3" s="54"/>
      <c r="K3" s="55">
        <f>Örnek!I36</f>
        <v>0</v>
      </c>
      <c r="L3" s="55">
        <f>Örnek!J36</f>
        <v>0</v>
      </c>
    </row>
    <row r="4" spans="2:13" s="28" customFormat="1" ht="36.75" customHeight="1" x14ac:dyDescent="0.35">
      <c r="B4" s="78" t="s">
        <v>44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27"/>
    </row>
  </sheetData>
  <mergeCells count="1">
    <mergeCell ref="B4:L4"/>
  </mergeCells>
  <phoneticPr fontId="11" type="noConversion"/>
  <pageMargins left="0.7" right="0.7" top="0.75" bottom="0.75" header="0.3" footer="0.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7062-DDF0-403A-A791-C5F092016808}">
  <dimension ref="A1:BE62"/>
  <sheetViews>
    <sheetView tabSelected="1" zoomScale="70" zoomScaleNormal="70" workbookViewId="0">
      <selection activeCell="I1" sqref="I1"/>
    </sheetView>
  </sheetViews>
  <sheetFormatPr defaultColWidth="41.453125" defaultRowHeight="22.5" customHeight="1" x14ac:dyDescent="0.35"/>
  <cols>
    <col min="1" max="1" width="42.90625" style="1" customWidth="1"/>
    <col min="2" max="2" width="20.08984375" style="24" customWidth="1"/>
    <col min="3" max="3" width="6.6328125" style="11" customWidth="1"/>
    <col min="4" max="4" width="15.54296875" style="1" customWidth="1"/>
    <col min="5" max="5" width="15.36328125" style="1" customWidth="1"/>
    <col min="6" max="6" width="10.36328125" style="1" customWidth="1"/>
    <col min="7" max="7" width="12.90625" style="1" customWidth="1"/>
    <col min="8" max="8" width="17.54296875" style="1" customWidth="1"/>
    <col min="9" max="9" width="16.08984375" style="1" customWidth="1"/>
    <col min="10" max="10" width="18" style="1" customWidth="1"/>
    <col min="11" max="11" width="48.1796875" style="1" customWidth="1"/>
    <col min="12" max="13" width="32.453125" style="1" customWidth="1"/>
    <col min="14" max="16384" width="41.453125" style="1"/>
  </cols>
  <sheetData>
    <row r="1" spans="1:57" ht="14" x14ac:dyDescent="0.35"/>
    <row r="2" spans="1:57" ht="51.75" customHeight="1" x14ac:dyDescent="0.35">
      <c r="A2" s="2" t="s">
        <v>0</v>
      </c>
      <c r="B2" s="71"/>
      <c r="C2" s="71"/>
      <c r="D2" s="71"/>
      <c r="E2" s="3"/>
      <c r="F2" s="4"/>
      <c r="G2" s="4"/>
      <c r="H2" s="3"/>
      <c r="I2" s="3"/>
      <c r="J2" s="3"/>
    </row>
    <row r="3" spans="1:57" ht="19.5" customHeight="1" x14ac:dyDescent="0.35">
      <c r="A3" s="2" t="s">
        <v>1</v>
      </c>
      <c r="B3" s="73"/>
      <c r="C3" s="73"/>
      <c r="D3" s="73"/>
      <c r="E3" s="3"/>
      <c r="F3" s="3"/>
      <c r="G3" s="3"/>
      <c r="H3" s="4"/>
      <c r="I3" s="4"/>
      <c r="J3" s="3"/>
      <c r="M3" s="5"/>
    </row>
    <row r="4" spans="1:57" ht="19.5" customHeight="1" x14ac:dyDescent="0.35">
      <c r="A4" s="2" t="s">
        <v>23</v>
      </c>
      <c r="B4" s="72"/>
      <c r="C4" s="72"/>
      <c r="D4" s="72"/>
      <c r="E4" s="62">
        <v>3.5000000000000003E-2</v>
      </c>
      <c r="F4" s="63"/>
      <c r="G4" s="63"/>
      <c r="H4" s="63"/>
      <c r="I4" s="63"/>
      <c r="J4" s="3"/>
      <c r="M4" s="5"/>
    </row>
    <row r="5" spans="1:57" ht="19.25" customHeight="1" x14ac:dyDescent="0.35">
      <c r="A5" s="2" t="s">
        <v>24</v>
      </c>
      <c r="B5" s="74"/>
      <c r="C5" s="74"/>
      <c r="D5" s="74"/>
      <c r="E5" s="4"/>
      <c r="F5" s="4"/>
      <c r="G5" s="3"/>
      <c r="H5" s="4"/>
      <c r="I5" s="4"/>
      <c r="J5" s="3"/>
      <c r="M5" s="5"/>
    </row>
    <row r="6" spans="1:57" ht="19.5" customHeight="1" x14ac:dyDescent="0.35">
      <c r="A6" s="2" t="s">
        <v>4</v>
      </c>
      <c r="B6" s="76"/>
      <c r="C6" s="76"/>
      <c r="D6" s="76"/>
      <c r="E6" s="3"/>
      <c r="F6" s="4"/>
      <c r="G6" s="3"/>
      <c r="H6" s="4"/>
      <c r="I6" s="4"/>
      <c r="J6" s="3"/>
    </row>
    <row r="7" spans="1:57" ht="19.5" customHeight="1" x14ac:dyDescent="0.35">
      <c r="A7" s="2" t="s">
        <v>31</v>
      </c>
      <c r="B7" s="74" t="s">
        <v>65</v>
      </c>
      <c r="C7" s="74"/>
      <c r="D7" s="74"/>
      <c r="E7" s="3"/>
      <c r="F7" s="4"/>
      <c r="G7" s="3"/>
      <c r="H7" s="4"/>
      <c r="I7" s="4"/>
      <c r="J7" s="3"/>
      <c r="M7" s="5"/>
    </row>
    <row r="8" spans="1:57" ht="19.5" customHeight="1" x14ac:dyDescent="0.35">
      <c r="A8" s="2" t="s">
        <v>3</v>
      </c>
      <c r="B8" s="75"/>
      <c r="C8" s="75"/>
      <c r="D8" s="75"/>
      <c r="E8" s="3"/>
      <c r="F8" s="4"/>
      <c r="G8" s="3"/>
      <c r="H8" s="4"/>
      <c r="I8" s="4"/>
      <c r="J8" s="3"/>
      <c r="M8" s="5"/>
    </row>
    <row r="9" spans="1:57" ht="19.5" customHeight="1" x14ac:dyDescent="0.35">
      <c r="A9" s="6" t="s">
        <v>5</v>
      </c>
      <c r="B9" s="77"/>
      <c r="C9" s="77"/>
      <c r="D9" s="77"/>
      <c r="E9" s="21"/>
      <c r="F9" s="4"/>
      <c r="G9" s="4"/>
      <c r="H9" s="19"/>
      <c r="I9" s="3"/>
      <c r="J9" s="3"/>
    </row>
    <row r="10" spans="1:57" s="7" customFormat="1" ht="19.5" customHeight="1" x14ac:dyDescent="0.35">
      <c r="A10" s="6" t="s">
        <v>22</v>
      </c>
      <c r="B10" s="22">
        <v>1.0349999999999999</v>
      </c>
      <c r="C10" s="64"/>
      <c r="D10" s="65"/>
      <c r="E10" s="65"/>
      <c r="F10" s="65"/>
      <c r="G10" s="65"/>
      <c r="H10" s="65"/>
      <c r="I10" s="65"/>
      <c r="J10" s="6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ht="75" customHeight="1" x14ac:dyDescent="0.35">
      <c r="A11" s="37"/>
      <c r="B11" s="89" t="s">
        <v>6</v>
      </c>
      <c r="C11" s="90" t="s">
        <v>7</v>
      </c>
      <c r="D11" s="91" t="s">
        <v>34</v>
      </c>
      <c r="E11" s="89" t="s">
        <v>51</v>
      </c>
      <c r="F11" s="92" t="s">
        <v>8</v>
      </c>
      <c r="G11" s="92" t="s">
        <v>9</v>
      </c>
      <c r="H11" s="92" t="s">
        <v>48</v>
      </c>
      <c r="I11" s="92" t="s">
        <v>49</v>
      </c>
      <c r="J11" s="92" t="s">
        <v>50</v>
      </c>
      <c r="K11" s="38"/>
      <c r="L11" s="10"/>
      <c r="M11" s="10"/>
    </row>
    <row r="12" spans="1:57" ht="28.5" customHeight="1" x14ac:dyDescent="0.35">
      <c r="A12" s="79" t="s">
        <v>59</v>
      </c>
      <c r="B12" s="79"/>
      <c r="C12" s="79"/>
      <c r="D12" s="79"/>
      <c r="E12" s="79"/>
      <c r="F12" s="79"/>
      <c r="G12" s="79"/>
      <c r="H12" s="79"/>
      <c r="I12" s="79"/>
      <c r="J12" s="80">
        <v>1.1000000000000001</v>
      </c>
      <c r="K12" s="25" t="s">
        <v>10</v>
      </c>
    </row>
    <row r="13" spans="1:57" ht="28.5" customHeight="1" x14ac:dyDescent="0.35">
      <c r="A13" s="81" t="s">
        <v>53</v>
      </c>
      <c r="B13" s="8">
        <v>0</v>
      </c>
      <c r="C13" s="12">
        <v>1</v>
      </c>
      <c r="D13" s="17">
        <f>C13*B13</f>
        <v>0</v>
      </c>
      <c r="E13" s="18">
        <f>+B13*C13*$B$10</f>
        <v>0</v>
      </c>
      <c r="F13" s="82">
        <v>0</v>
      </c>
      <c r="G13" s="82">
        <v>1</v>
      </c>
      <c r="H13" s="8">
        <f>D13*F13*G13</f>
        <v>0</v>
      </c>
      <c r="I13" s="8">
        <f>E13*F13*G13</f>
        <v>0</v>
      </c>
      <c r="J13" s="9">
        <f>(H13*$J$12)+((I13-H13)*1.2)</f>
        <v>0</v>
      </c>
      <c r="K13" s="44"/>
    </row>
    <row r="14" spans="1:57" ht="28.5" customHeight="1" x14ac:dyDescent="0.35">
      <c r="A14" s="81" t="s">
        <v>43</v>
      </c>
      <c r="B14" s="8">
        <v>0</v>
      </c>
      <c r="C14" s="12">
        <v>1</v>
      </c>
      <c r="D14" s="17">
        <f>C14*B14</f>
        <v>0</v>
      </c>
      <c r="E14" s="18">
        <f>+B14*C14*$B$10</f>
        <v>0</v>
      </c>
      <c r="F14" s="82">
        <v>0</v>
      </c>
      <c r="G14" s="82">
        <v>1</v>
      </c>
      <c r="H14" s="8">
        <f>D14*F14*G14</f>
        <v>0</v>
      </c>
      <c r="I14" s="8">
        <f>E14*F14*G14</f>
        <v>0</v>
      </c>
      <c r="J14" s="9">
        <f>(H14*$J$12)+((I14-H14)*1.2)</f>
        <v>0</v>
      </c>
      <c r="K14" s="44"/>
    </row>
    <row r="15" spans="1:57" ht="28.5" customHeight="1" x14ac:dyDescent="0.35">
      <c r="A15" s="79" t="s">
        <v>60</v>
      </c>
      <c r="B15" s="79"/>
      <c r="C15" s="79"/>
      <c r="D15" s="79"/>
      <c r="E15" s="79"/>
      <c r="F15" s="79"/>
      <c r="G15" s="79"/>
      <c r="H15" s="79"/>
      <c r="I15" s="79"/>
      <c r="J15" s="80">
        <v>1.2</v>
      </c>
      <c r="K15" s="25"/>
    </row>
    <row r="16" spans="1:57" ht="28.5" customHeight="1" x14ac:dyDescent="0.35">
      <c r="A16" s="81" t="s">
        <v>26</v>
      </c>
      <c r="B16" s="8">
        <v>0</v>
      </c>
      <c r="C16" s="12">
        <v>1</v>
      </c>
      <c r="D16" s="17">
        <f>C16*B16</f>
        <v>0</v>
      </c>
      <c r="E16" s="18">
        <f>+B16*C16*$B$10</f>
        <v>0</v>
      </c>
      <c r="F16" s="82">
        <v>1</v>
      </c>
      <c r="G16" s="82">
        <v>1</v>
      </c>
      <c r="H16" s="8">
        <f>D16*F16*G16</f>
        <v>0</v>
      </c>
      <c r="I16" s="8">
        <f>E16*F16*G16</f>
        <v>0</v>
      </c>
      <c r="J16" s="9">
        <f>(H16*$J$15)+((I16-H16)*1.2)</f>
        <v>0</v>
      </c>
      <c r="K16" s="44"/>
    </row>
    <row r="17" spans="1:11" ht="28.5" customHeight="1" x14ac:dyDescent="0.35">
      <c r="A17" s="93" t="s">
        <v>46</v>
      </c>
      <c r="B17" s="94"/>
      <c r="C17" s="95"/>
      <c r="D17" s="96"/>
      <c r="E17" s="93"/>
      <c r="F17" s="96"/>
      <c r="G17" s="96"/>
      <c r="H17" s="97">
        <f>SUM(H13+H14+H16)</f>
        <v>0</v>
      </c>
      <c r="I17" s="97">
        <f t="shared" ref="I17:J17" si="0">SUM(I13+I14+I16)</f>
        <v>0</v>
      </c>
      <c r="J17" s="97">
        <f t="shared" si="0"/>
        <v>0</v>
      </c>
      <c r="K17" s="8"/>
    </row>
    <row r="18" spans="1:11" ht="28.5" customHeight="1" x14ac:dyDescent="0.35">
      <c r="A18" s="79" t="s">
        <v>61</v>
      </c>
      <c r="B18" s="79"/>
      <c r="C18" s="79"/>
      <c r="D18" s="79"/>
      <c r="E18" s="79"/>
      <c r="F18" s="79"/>
      <c r="G18" s="79"/>
      <c r="H18" s="79"/>
      <c r="I18" s="79"/>
      <c r="J18" s="80">
        <v>1.1000000000000001</v>
      </c>
      <c r="K18" s="25"/>
    </row>
    <row r="19" spans="1:11" ht="28.5" customHeight="1" x14ac:dyDescent="0.35">
      <c r="A19" s="81" t="s">
        <v>25</v>
      </c>
      <c r="B19" s="8">
        <v>0</v>
      </c>
      <c r="C19" s="12">
        <v>1</v>
      </c>
      <c r="D19" s="17">
        <f>C19*B19</f>
        <v>0</v>
      </c>
      <c r="E19" s="18">
        <f>+B19*C19*$B$10</f>
        <v>0</v>
      </c>
      <c r="F19" s="82">
        <v>0</v>
      </c>
      <c r="G19" s="82">
        <v>1</v>
      </c>
      <c r="H19" s="8">
        <f>D19*F19*G19</f>
        <v>0</v>
      </c>
      <c r="I19" s="8">
        <f>E19*F19*G19</f>
        <v>0</v>
      </c>
      <c r="J19" s="9">
        <f>(H19*$J$18)+((I19-H19)*1.2)</f>
        <v>0</v>
      </c>
      <c r="K19" s="44"/>
    </row>
    <row r="20" spans="1:11" ht="28.5" customHeight="1" x14ac:dyDescent="0.35">
      <c r="A20" s="81" t="s">
        <v>30</v>
      </c>
      <c r="B20" s="8">
        <v>0</v>
      </c>
      <c r="C20" s="12">
        <v>1</v>
      </c>
      <c r="D20" s="17">
        <f>C20*B20</f>
        <v>0</v>
      </c>
      <c r="E20" s="18">
        <f>+B20*C20*$B$10</f>
        <v>0</v>
      </c>
      <c r="F20" s="82">
        <v>0</v>
      </c>
      <c r="G20" s="82">
        <v>1</v>
      </c>
      <c r="H20" s="8">
        <f>D20*F20*G20</f>
        <v>0</v>
      </c>
      <c r="I20" s="8">
        <f>E20*F20*G20</f>
        <v>0</v>
      </c>
      <c r="J20" s="9">
        <f>(H20*$J$18)+((I20-H20)*1.2)</f>
        <v>0</v>
      </c>
      <c r="K20" s="44"/>
    </row>
    <row r="21" spans="1:11" ht="28.5" customHeight="1" x14ac:dyDescent="0.35">
      <c r="A21" s="79" t="s">
        <v>62</v>
      </c>
      <c r="B21" s="79"/>
      <c r="C21" s="79"/>
      <c r="D21" s="79"/>
      <c r="E21" s="79"/>
      <c r="F21" s="79"/>
      <c r="G21" s="79"/>
      <c r="H21" s="79"/>
      <c r="I21" s="79"/>
      <c r="J21" s="80">
        <v>1.2</v>
      </c>
      <c r="K21" s="25"/>
    </row>
    <row r="22" spans="1:11" ht="28.5" customHeight="1" x14ac:dyDescent="0.35">
      <c r="A22" s="81" t="s">
        <v>26</v>
      </c>
      <c r="B22" s="8">
        <v>0</v>
      </c>
      <c r="C22" s="12">
        <v>1</v>
      </c>
      <c r="D22" s="17">
        <f>C22*B22</f>
        <v>0</v>
      </c>
      <c r="E22" s="18">
        <f>+B22*C22*$B$10</f>
        <v>0</v>
      </c>
      <c r="F22" s="82">
        <v>0</v>
      </c>
      <c r="G22" s="82">
        <v>1</v>
      </c>
      <c r="H22" s="8">
        <f>D22*F22*G22</f>
        <v>0</v>
      </c>
      <c r="I22" s="8">
        <f>E22*F22*G22</f>
        <v>0</v>
      </c>
      <c r="J22" s="9">
        <f>(H22*$J$21)+((I22-H22)*1.2)</f>
        <v>0</v>
      </c>
      <c r="K22" s="44"/>
    </row>
    <row r="23" spans="1:11" ht="28.5" customHeight="1" x14ac:dyDescent="0.35">
      <c r="A23" s="93" t="s">
        <v>47</v>
      </c>
      <c r="B23" s="94"/>
      <c r="C23" s="95"/>
      <c r="D23" s="96"/>
      <c r="E23" s="93"/>
      <c r="F23" s="96"/>
      <c r="G23" s="96"/>
      <c r="H23" s="97">
        <f>SUM(H19+H20+H22)</f>
        <v>0</v>
      </c>
      <c r="I23" s="97">
        <f t="shared" ref="I23:J23" si="1">SUM(I19+I20+I22)</f>
        <v>0</v>
      </c>
      <c r="J23" s="97">
        <f t="shared" si="1"/>
        <v>0</v>
      </c>
      <c r="K23" s="8"/>
    </row>
    <row r="24" spans="1:11" ht="28.5" customHeight="1" x14ac:dyDescent="0.35">
      <c r="A24" s="79" t="s">
        <v>56</v>
      </c>
      <c r="B24" s="79"/>
      <c r="C24" s="79"/>
      <c r="D24" s="79"/>
      <c r="E24" s="79"/>
      <c r="F24" s="79"/>
      <c r="G24" s="79"/>
      <c r="H24" s="79"/>
      <c r="I24" s="79"/>
      <c r="J24" s="80">
        <v>1.1000000000000001</v>
      </c>
      <c r="K24" s="34"/>
    </row>
    <row r="25" spans="1:11" ht="28.5" customHeight="1" x14ac:dyDescent="0.35">
      <c r="A25" s="98" t="s">
        <v>54</v>
      </c>
      <c r="B25" s="43">
        <v>0</v>
      </c>
      <c r="C25" s="12">
        <v>51</v>
      </c>
      <c r="D25" s="17">
        <f>C25*B25</f>
        <v>0</v>
      </c>
      <c r="E25" s="18">
        <f>+B25*C25*$B$10</f>
        <v>0</v>
      </c>
      <c r="F25" s="30">
        <v>0</v>
      </c>
      <c r="G25" s="30">
        <v>1</v>
      </c>
      <c r="H25" s="8">
        <f>D25*F25*G25</f>
        <v>0</v>
      </c>
      <c r="I25" s="8">
        <f>E25*F25*G25</f>
        <v>0</v>
      </c>
      <c r="J25" s="9">
        <f>(H25*$J$24)+((I25-H25)*1.2)</f>
        <v>0</v>
      </c>
      <c r="K25" s="99"/>
    </row>
    <row r="26" spans="1:11" ht="28.5" customHeight="1" x14ac:dyDescent="0.35">
      <c r="A26" s="98" t="s">
        <v>55</v>
      </c>
      <c r="B26" s="43">
        <v>0</v>
      </c>
      <c r="C26" s="12">
        <v>51</v>
      </c>
      <c r="D26" s="17">
        <f>C26*B26</f>
        <v>0</v>
      </c>
      <c r="E26" s="18">
        <f>+B26*C26*$B$10</f>
        <v>0</v>
      </c>
      <c r="F26" s="30">
        <v>0</v>
      </c>
      <c r="G26" s="30">
        <v>1</v>
      </c>
      <c r="H26" s="8">
        <f>D26*F26*G26</f>
        <v>0</v>
      </c>
      <c r="I26" s="8">
        <f>E26*F26*G26</f>
        <v>0</v>
      </c>
      <c r="J26" s="9">
        <f>(H26*$J$24)+((I26-H26)*1.2)</f>
        <v>0</v>
      </c>
      <c r="K26" s="99"/>
    </row>
    <row r="27" spans="1:11" ht="28.5" customHeight="1" x14ac:dyDescent="0.35">
      <c r="A27" s="93" t="s">
        <v>63</v>
      </c>
      <c r="B27" s="100"/>
      <c r="C27" s="95"/>
      <c r="D27" s="96"/>
      <c r="E27" s="93"/>
      <c r="F27" s="96"/>
      <c r="G27" s="96"/>
      <c r="H27" s="97">
        <f>SUM(H25:H26)</f>
        <v>0</v>
      </c>
      <c r="I27" s="97">
        <f t="shared" ref="I27" si="2">SUM(I25:I26)</f>
        <v>0</v>
      </c>
      <c r="J27" s="97">
        <f>SUM(J25:J26)</f>
        <v>0</v>
      </c>
      <c r="K27" s="8"/>
    </row>
    <row r="28" spans="1:11" ht="28.5" customHeight="1" x14ac:dyDescent="0.35">
      <c r="A28" s="79" t="s">
        <v>57</v>
      </c>
      <c r="B28" s="79"/>
      <c r="C28" s="79"/>
      <c r="D28" s="79"/>
      <c r="E28" s="79"/>
      <c r="F28" s="79"/>
      <c r="G28" s="79"/>
      <c r="H28" s="79"/>
      <c r="I28" s="79"/>
      <c r="J28" s="80">
        <v>1.2</v>
      </c>
      <c r="K28" s="8"/>
    </row>
    <row r="29" spans="1:11" ht="28.5" customHeight="1" x14ac:dyDescent="0.35">
      <c r="A29" s="81" t="s">
        <v>58</v>
      </c>
      <c r="B29" s="8">
        <v>0</v>
      </c>
      <c r="C29" s="12">
        <v>1</v>
      </c>
      <c r="D29" s="17">
        <f>C29*B29</f>
        <v>0</v>
      </c>
      <c r="E29" s="18">
        <f>+B29*C29*$B$10</f>
        <v>0</v>
      </c>
      <c r="F29" s="82">
        <v>2</v>
      </c>
      <c r="G29" s="82">
        <v>1</v>
      </c>
      <c r="H29" s="8">
        <f>D29*F29*G29</f>
        <v>0</v>
      </c>
      <c r="I29" s="8">
        <f>E29*F29*G29</f>
        <v>0</v>
      </c>
      <c r="J29" s="9">
        <f>(H29*$J$28)+((I29-H29)*1.2)</f>
        <v>0</v>
      </c>
      <c r="K29" s="44"/>
    </row>
    <row r="30" spans="1:11" ht="28.5" customHeight="1" x14ac:dyDescent="0.35">
      <c r="A30" s="93" t="s">
        <v>64</v>
      </c>
      <c r="B30" s="100"/>
      <c r="C30" s="95"/>
      <c r="D30" s="96"/>
      <c r="E30" s="93"/>
      <c r="F30" s="96"/>
      <c r="G30" s="96"/>
      <c r="H30" s="97">
        <f>SUM(H29:H29)</f>
        <v>0</v>
      </c>
      <c r="I30" s="97">
        <f>SUM(I29:I29)</f>
        <v>0</v>
      </c>
      <c r="J30" s="97">
        <f>SUM(J29:J29)</f>
        <v>0</v>
      </c>
      <c r="K30" s="8"/>
    </row>
    <row r="31" spans="1:11" ht="28.5" customHeight="1" x14ac:dyDescent="0.35">
      <c r="A31" s="79" t="s">
        <v>21</v>
      </c>
      <c r="B31" s="79"/>
      <c r="C31" s="79"/>
      <c r="D31" s="79"/>
      <c r="E31" s="79"/>
      <c r="F31" s="79"/>
      <c r="G31" s="79"/>
      <c r="H31" s="79"/>
      <c r="I31" s="79"/>
      <c r="J31" s="80">
        <v>1.2</v>
      </c>
      <c r="K31" s="8"/>
    </row>
    <row r="32" spans="1:11" ht="28.5" customHeight="1" x14ac:dyDescent="0.35">
      <c r="A32" s="81" t="s">
        <v>52</v>
      </c>
      <c r="B32" s="8">
        <v>0</v>
      </c>
      <c r="C32" s="12">
        <v>1</v>
      </c>
      <c r="D32" s="17">
        <f t="shared" ref="D32:D34" si="3">C32*B32</f>
        <v>0</v>
      </c>
      <c r="E32" s="18">
        <f t="shared" ref="E32:E34" si="4">+B32*C32*$B$10</f>
        <v>0</v>
      </c>
      <c r="F32" s="82">
        <v>0</v>
      </c>
      <c r="G32" s="82">
        <v>1</v>
      </c>
      <c r="H32" s="8">
        <f t="shared" ref="H32:H34" si="5">D32*F32*G32</f>
        <v>0</v>
      </c>
      <c r="I32" s="8">
        <f t="shared" ref="I32:I34" si="6">E32*F32*G32</f>
        <v>0</v>
      </c>
      <c r="J32" s="9">
        <f>(H32*$J$31)+((I32-H32)*1.2)</f>
        <v>0</v>
      </c>
      <c r="K32" s="23"/>
    </row>
    <row r="33" spans="1:11" ht="28.5" customHeight="1" x14ac:dyDescent="0.35">
      <c r="A33" s="81" t="s">
        <v>35</v>
      </c>
      <c r="B33" s="8">
        <v>0</v>
      </c>
      <c r="C33" s="12">
        <v>1</v>
      </c>
      <c r="D33" s="17">
        <f t="shared" si="3"/>
        <v>0</v>
      </c>
      <c r="E33" s="18">
        <f t="shared" si="4"/>
        <v>0</v>
      </c>
      <c r="F33" s="101">
        <v>0</v>
      </c>
      <c r="G33" s="82">
        <v>1</v>
      </c>
      <c r="H33" s="8">
        <f t="shared" si="5"/>
        <v>0</v>
      </c>
      <c r="I33" s="8">
        <f t="shared" si="6"/>
        <v>0</v>
      </c>
      <c r="J33" s="9">
        <f>(H33*$J$31)+((I33-H33)*1.2)</f>
        <v>0</v>
      </c>
      <c r="K33" s="23"/>
    </row>
    <row r="34" spans="1:11" ht="28.5" customHeight="1" x14ac:dyDescent="0.35">
      <c r="A34" s="102" t="s">
        <v>36</v>
      </c>
      <c r="B34" s="42">
        <v>0</v>
      </c>
      <c r="C34" s="39">
        <v>1</v>
      </c>
      <c r="D34" s="40">
        <f t="shared" si="3"/>
        <v>0</v>
      </c>
      <c r="E34" s="41">
        <f t="shared" si="4"/>
        <v>0</v>
      </c>
      <c r="F34" s="103">
        <v>0</v>
      </c>
      <c r="G34" s="104">
        <v>1</v>
      </c>
      <c r="H34" s="42">
        <f t="shared" si="5"/>
        <v>0</v>
      </c>
      <c r="I34" s="42">
        <f t="shared" si="6"/>
        <v>0</v>
      </c>
      <c r="J34" s="42">
        <f>(H34*$J$31)+((I34-H34)*1.2)</f>
        <v>0</v>
      </c>
      <c r="K34" s="23"/>
    </row>
    <row r="35" spans="1:11" ht="28.5" customHeight="1" x14ac:dyDescent="0.35">
      <c r="A35" s="93"/>
      <c r="B35" s="94"/>
      <c r="C35" s="95"/>
      <c r="D35" s="96"/>
      <c r="E35" s="93"/>
      <c r="F35" s="96"/>
      <c r="G35" s="96"/>
      <c r="H35" s="97">
        <f>SUM(H32:H34)</f>
        <v>0</v>
      </c>
      <c r="I35" s="97">
        <f>SUM(I32:I34)</f>
        <v>0</v>
      </c>
      <c r="J35" s="97">
        <f>SUM(J32:J34)</f>
        <v>0</v>
      </c>
      <c r="K35" s="8"/>
    </row>
    <row r="36" spans="1:11" ht="22.5" customHeight="1" thickBot="1" x14ac:dyDescent="0.4">
      <c r="A36" s="83" t="s">
        <v>11</v>
      </c>
      <c r="B36" s="84"/>
      <c r="C36" s="85"/>
      <c r="D36" s="86"/>
      <c r="E36" s="87"/>
      <c r="F36" s="87"/>
      <c r="G36" s="87"/>
      <c r="H36" s="88">
        <f>H17+H23+H35+H27+H30</f>
        <v>0</v>
      </c>
      <c r="I36" s="88">
        <f>I17+I23+I35+I27+I30</f>
        <v>0</v>
      </c>
      <c r="J36" s="88">
        <f>J17+J23+J35+J27+J30</f>
        <v>0</v>
      </c>
    </row>
    <row r="37" spans="1:11" ht="14" x14ac:dyDescent="0.35">
      <c r="B37" s="1"/>
      <c r="C37" s="1"/>
    </row>
    <row r="38" spans="1:11" ht="14" x14ac:dyDescent="0.35">
      <c r="A38" s="20" t="s">
        <v>37</v>
      </c>
    </row>
    <row r="39" spans="1:11" ht="14" x14ac:dyDescent="0.35">
      <c r="A39" s="20"/>
    </row>
    <row r="40" spans="1:11" ht="57.65" customHeight="1" x14ac:dyDescent="0.35">
      <c r="B40" s="26"/>
      <c r="C40" s="13"/>
      <c r="I40" s="69" t="s">
        <v>38</v>
      </c>
      <c r="J40" s="69"/>
      <c r="K40" s="69"/>
    </row>
    <row r="41" spans="1:11" ht="36" customHeight="1" x14ac:dyDescent="0.35">
      <c r="A41" s="59" t="s">
        <v>45</v>
      </c>
      <c r="B41" s="60"/>
      <c r="C41" s="61"/>
      <c r="E41" s="67" t="s">
        <v>28</v>
      </c>
      <c r="F41" s="68"/>
      <c r="G41" s="68"/>
      <c r="I41" s="70" t="s">
        <v>32</v>
      </c>
      <c r="J41" s="61"/>
      <c r="K41" s="36"/>
    </row>
    <row r="42" spans="1:11" ht="14" x14ac:dyDescent="0.35">
      <c r="I42" s="34" t="s">
        <v>33</v>
      </c>
      <c r="J42" s="33" t="s">
        <v>39</v>
      </c>
      <c r="K42" s="35" t="s">
        <v>40</v>
      </c>
    </row>
    <row r="43" spans="1:11" ht="22.5" customHeight="1" x14ac:dyDescent="0.35">
      <c r="A43" s="32" t="s">
        <v>41</v>
      </c>
      <c r="I43" s="30">
        <v>1</v>
      </c>
      <c r="J43" s="29"/>
      <c r="K43" s="31"/>
    </row>
    <row r="44" spans="1:11" ht="22.5" customHeight="1" x14ac:dyDescent="0.35">
      <c r="I44" s="30">
        <v>2</v>
      </c>
      <c r="J44" s="29"/>
      <c r="K44" s="31"/>
    </row>
    <row r="45" spans="1:11" ht="22.5" customHeight="1" x14ac:dyDescent="0.35">
      <c r="I45" s="30">
        <v>3</v>
      </c>
      <c r="J45" s="29"/>
      <c r="K45" s="31"/>
    </row>
    <row r="46" spans="1:11" ht="22.5" customHeight="1" x14ac:dyDescent="0.35">
      <c r="I46" s="30">
        <v>4</v>
      </c>
      <c r="J46" s="29"/>
      <c r="K46" s="31"/>
    </row>
    <row r="47" spans="1:11" ht="22.5" customHeight="1" x14ac:dyDescent="0.35">
      <c r="I47" s="30">
        <v>5</v>
      </c>
      <c r="J47" s="29"/>
      <c r="K47" s="31"/>
    </row>
    <row r="48" spans="1:11" ht="22.5" customHeight="1" x14ac:dyDescent="0.35">
      <c r="I48" s="30">
        <v>6</v>
      </c>
      <c r="J48" s="29"/>
      <c r="K48" s="31"/>
    </row>
    <row r="49" spans="1:11" ht="22.5" customHeight="1" x14ac:dyDescent="0.35">
      <c r="I49" s="30">
        <v>7</v>
      </c>
      <c r="J49" s="29"/>
      <c r="K49" s="31"/>
    </row>
    <row r="50" spans="1:11" ht="22.5" customHeight="1" x14ac:dyDescent="0.35">
      <c r="I50" s="30">
        <v>8</v>
      </c>
      <c r="J50" s="29"/>
      <c r="K50" s="31"/>
    </row>
    <row r="51" spans="1:11" ht="22.5" customHeight="1" x14ac:dyDescent="0.35">
      <c r="I51" s="30">
        <v>9</v>
      </c>
      <c r="J51" s="29"/>
      <c r="K51" s="31"/>
    </row>
    <row r="52" spans="1:11" ht="22.5" customHeight="1" x14ac:dyDescent="0.35">
      <c r="I52" s="30">
        <v>10</v>
      </c>
      <c r="J52" s="7"/>
      <c r="K52" s="30"/>
    </row>
    <row r="53" spans="1:11" ht="22.5" customHeight="1" x14ac:dyDescent="0.35">
      <c r="I53" s="30">
        <v>11</v>
      </c>
      <c r="J53" s="7"/>
      <c r="K53" s="30"/>
    </row>
    <row r="54" spans="1:11" ht="22.5" customHeight="1" x14ac:dyDescent="0.35">
      <c r="I54" s="30">
        <v>12</v>
      </c>
      <c r="J54" s="7"/>
      <c r="K54" s="30"/>
    </row>
    <row r="55" spans="1:11" ht="22.5" customHeight="1" x14ac:dyDescent="0.35">
      <c r="I55" s="30">
        <v>13</v>
      </c>
      <c r="J55" s="7"/>
      <c r="K55" s="30"/>
    </row>
    <row r="56" spans="1:11" ht="22.5" customHeight="1" x14ac:dyDescent="0.35">
      <c r="A56" s="56" t="s">
        <v>27</v>
      </c>
      <c r="B56" s="57"/>
      <c r="C56" s="58"/>
      <c r="I56" s="30">
        <v>14</v>
      </c>
      <c r="J56" s="7"/>
      <c r="K56" s="30"/>
    </row>
    <row r="57" spans="1:11" ht="22.5" customHeight="1" x14ac:dyDescent="0.35">
      <c r="I57" s="30">
        <v>15</v>
      </c>
      <c r="J57" s="7"/>
      <c r="K57" s="30"/>
    </row>
    <row r="58" spans="1:11" ht="22.5" customHeight="1" x14ac:dyDescent="0.35">
      <c r="A58" s="32" t="s">
        <v>42</v>
      </c>
      <c r="I58" s="30">
        <v>16</v>
      </c>
      <c r="J58" s="7"/>
      <c r="K58" s="30"/>
    </row>
    <row r="59" spans="1:11" ht="22.5" customHeight="1" x14ac:dyDescent="0.35">
      <c r="I59" s="30">
        <v>17</v>
      </c>
      <c r="J59" s="7"/>
      <c r="K59" s="30"/>
    </row>
    <row r="60" spans="1:11" ht="22.5" customHeight="1" x14ac:dyDescent="0.35">
      <c r="I60" s="30">
        <v>18</v>
      </c>
      <c r="J60" s="7"/>
      <c r="K60" s="30"/>
    </row>
    <row r="61" spans="1:11" ht="22.5" customHeight="1" x14ac:dyDescent="0.35">
      <c r="I61" s="30">
        <v>19</v>
      </c>
      <c r="J61" s="7"/>
      <c r="K61" s="30"/>
    </row>
    <row r="62" spans="1:11" ht="22.5" customHeight="1" x14ac:dyDescent="0.35">
      <c r="I62" s="30">
        <v>20</v>
      </c>
      <c r="J62" s="7"/>
      <c r="K62" s="30"/>
    </row>
  </sheetData>
  <mergeCells count="22">
    <mergeCell ref="B2:D2"/>
    <mergeCell ref="B4:D4"/>
    <mergeCell ref="A12:I12"/>
    <mergeCell ref="A15:I15"/>
    <mergeCell ref="A18:I18"/>
    <mergeCell ref="B3:D3"/>
    <mergeCell ref="B5:D5"/>
    <mergeCell ref="B7:D7"/>
    <mergeCell ref="B8:D8"/>
    <mergeCell ref="B6:D6"/>
    <mergeCell ref="B9:D9"/>
    <mergeCell ref="A56:C56"/>
    <mergeCell ref="A41:C41"/>
    <mergeCell ref="E4:I4"/>
    <mergeCell ref="C10:J10"/>
    <mergeCell ref="E41:G41"/>
    <mergeCell ref="A21:I21"/>
    <mergeCell ref="A31:I31"/>
    <mergeCell ref="I40:K40"/>
    <mergeCell ref="I41:J41"/>
    <mergeCell ref="A24:I24"/>
    <mergeCell ref="A28:I28"/>
  </mergeCells>
  <phoneticPr fontId="11" type="noConversion"/>
  <pageMargins left="0.7" right="0.7" top="0.75" bottom="0.75" header="0.3" footer="0.3"/>
  <pageSetup paperSize="9" orientation="portrait" verticalDpi="300" r:id="rId1"/>
</worksheet>
</file>

<file path=docMetadata/LabelInfo.xml><?xml version="1.0" encoding="utf-8"?>
<clbl:labelList xmlns:clbl="http://schemas.microsoft.com/office/2020/mipLabelMetadata">
  <clbl:label id="{0df3522f-8c42-44b0-bea3-7f162a60ea50}" enabled="1" method="Standard" siteId="{63982aff-fb6c-4c22-973b-70e4acfb63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TEKLİF ÖZETİ</vt:lpstr>
      <vt:lpstr>Örnek</vt:lpstr>
      <vt:lpstr>'TEKLİF ÖZETİ'!Yazdırma_Alanı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Cagdas COLAK</dc:creator>
  <cp:lastModifiedBy>Mert Yıldız / S.T.O.K. MICE</cp:lastModifiedBy>
  <dcterms:created xsi:type="dcterms:W3CDTF">2024-01-22T13:32:35Z</dcterms:created>
  <dcterms:modified xsi:type="dcterms:W3CDTF">2026-04-10T12:14:33Z</dcterms:modified>
</cp:coreProperties>
</file>