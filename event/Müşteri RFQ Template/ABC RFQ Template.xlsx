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/Users/ergun/Desktop/CLAUDE/E-Dem/"/>
    </mc:Choice>
  </mc:AlternateContent>
  <xr:revisionPtr revIDLastSave="0" documentId="13_ncr:1_{CD47DBC4-1BC4-7945-AEAB-828CA9DD827C}" xr6:coauthVersionLast="47" xr6:coauthVersionMax="47" xr10:uidLastSave="{00000000-0000-0000-0000-000000000000}"/>
  <bookViews>
    <workbookView xWindow="0" yWindow="600" windowWidth="37920" windowHeight="19380" tabRatio="669" xr2:uid="{00000000-000D-0000-FFFF-FFFF00000000}"/>
  </bookViews>
  <sheets>
    <sheet name="Concorde KKTC" sheetId="50" r:id="rId1"/>
  </sheets>
  <definedNames>
    <definedName name="_xlnm.Print_Area" localSheetId="0">'Concorde KKTC'!$B$2:$J$99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50" l="1"/>
  <c r="G28" i="50"/>
  <c r="I27" i="50"/>
  <c r="G27" i="50"/>
  <c r="J27" i="50" l="1"/>
  <c r="J28" i="50"/>
  <c r="F91" i="50" l="1"/>
  <c r="G91" i="50" s="1"/>
  <c r="I91" i="50"/>
  <c r="I90" i="50"/>
  <c r="G90" i="50"/>
  <c r="I87" i="50"/>
  <c r="G87" i="50"/>
  <c r="J87" i="50" l="1"/>
  <c r="J90" i="50"/>
  <c r="J91" i="50"/>
  <c r="I66" i="50"/>
  <c r="G66" i="50"/>
  <c r="I65" i="50"/>
  <c r="G65" i="50"/>
  <c r="I31" i="50"/>
  <c r="G31" i="50"/>
  <c r="J65" i="50" l="1"/>
  <c r="J66" i="50"/>
  <c r="J31" i="50"/>
  <c r="I33" i="50"/>
  <c r="I34" i="50"/>
  <c r="G34" i="50"/>
  <c r="G33" i="50"/>
  <c r="J34" i="50" l="1"/>
  <c r="J33" i="50"/>
  <c r="F85" i="50" l="1"/>
  <c r="I92" i="50" l="1"/>
  <c r="G92" i="50"/>
  <c r="I89" i="50"/>
  <c r="G89" i="50"/>
  <c r="I88" i="50"/>
  <c r="F88" i="50"/>
  <c r="G88" i="50" s="1"/>
  <c r="I86" i="50"/>
  <c r="F86" i="50"/>
  <c r="G86" i="50" s="1"/>
  <c r="I85" i="50"/>
  <c r="G85" i="50"/>
  <c r="I84" i="50"/>
  <c r="F84" i="50"/>
  <c r="G84" i="50" s="1"/>
  <c r="I83" i="50"/>
  <c r="G83" i="50"/>
  <c r="I82" i="50"/>
  <c r="G82" i="50"/>
  <c r="J82" i="50" s="1"/>
  <c r="I78" i="50"/>
  <c r="G78" i="50"/>
  <c r="I77" i="50"/>
  <c r="G77" i="50"/>
  <c r="I76" i="50"/>
  <c r="G76" i="50"/>
  <c r="I75" i="50"/>
  <c r="G75" i="50"/>
  <c r="I74" i="50"/>
  <c r="G74" i="50"/>
  <c r="I73" i="50"/>
  <c r="G73" i="50"/>
  <c r="I72" i="50"/>
  <c r="G72" i="50"/>
  <c r="I71" i="50"/>
  <c r="G71" i="50"/>
  <c r="I70" i="50"/>
  <c r="G70" i="50"/>
  <c r="I64" i="50"/>
  <c r="G64" i="50"/>
  <c r="I63" i="50"/>
  <c r="G63" i="50"/>
  <c r="I62" i="50"/>
  <c r="G62" i="50"/>
  <c r="I61" i="50"/>
  <c r="G61" i="50"/>
  <c r="I60" i="50"/>
  <c r="G60" i="50"/>
  <c r="I56" i="50"/>
  <c r="G56" i="50"/>
  <c r="I53" i="50"/>
  <c r="G53" i="50"/>
  <c r="I50" i="50"/>
  <c r="G50" i="50"/>
  <c r="I49" i="50"/>
  <c r="G49" i="50"/>
  <c r="I48" i="50"/>
  <c r="G48" i="50"/>
  <c r="I44" i="50"/>
  <c r="G44" i="50"/>
  <c r="J44" i="50" s="1"/>
  <c r="I43" i="50"/>
  <c r="G43" i="50"/>
  <c r="I42" i="50"/>
  <c r="G42" i="50"/>
  <c r="I41" i="50"/>
  <c r="G41" i="50"/>
  <c r="I40" i="50"/>
  <c r="G40" i="50"/>
  <c r="I39" i="50"/>
  <c r="G39" i="50"/>
  <c r="I32" i="50"/>
  <c r="G32" i="50"/>
  <c r="I30" i="50"/>
  <c r="G30" i="50"/>
  <c r="I29" i="50"/>
  <c r="G29" i="50"/>
  <c r="I22" i="50"/>
  <c r="G22" i="50"/>
  <c r="I21" i="50"/>
  <c r="G21" i="50"/>
  <c r="I20" i="50"/>
  <c r="G20" i="50"/>
  <c r="I19" i="50"/>
  <c r="G19" i="50"/>
  <c r="I18" i="50"/>
  <c r="G18" i="50"/>
  <c r="I14" i="50"/>
  <c r="G14" i="50"/>
  <c r="I13" i="50"/>
  <c r="G13" i="50"/>
  <c r="I12" i="50"/>
  <c r="G12" i="50"/>
  <c r="J83" i="50" l="1"/>
  <c r="J74" i="50"/>
  <c r="J73" i="50"/>
  <c r="J88" i="50"/>
  <c r="J40" i="50"/>
  <c r="J20" i="50"/>
  <c r="J13" i="50"/>
  <c r="J42" i="50"/>
  <c r="J53" i="50"/>
  <c r="J54" i="50" s="1"/>
  <c r="J75" i="50"/>
  <c r="J32" i="50"/>
  <c r="J21" i="50"/>
  <c r="J39" i="50"/>
  <c r="J64" i="50"/>
  <c r="J48" i="50"/>
  <c r="J61" i="50"/>
  <c r="J70" i="50"/>
  <c r="J76" i="50"/>
  <c r="J85" i="50"/>
  <c r="J41" i="50"/>
  <c r="J62" i="50"/>
  <c r="J77" i="50"/>
  <c r="J86" i="50"/>
  <c r="J18" i="50"/>
  <c r="J50" i="50"/>
  <c r="J72" i="50"/>
  <c r="J78" i="50"/>
  <c r="J60" i="50"/>
  <c r="J29" i="50"/>
  <c r="J14" i="50"/>
  <c r="J92" i="50"/>
  <c r="J63" i="50"/>
  <c r="J22" i="50"/>
  <c r="J49" i="50"/>
  <c r="J43" i="50"/>
  <c r="J56" i="50"/>
  <c r="J58" i="50" s="1"/>
  <c r="J30" i="50"/>
  <c r="J89" i="50"/>
  <c r="J84" i="50"/>
  <c r="J71" i="50"/>
  <c r="J19" i="50"/>
  <c r="J12" i="50"/>
  <c r="J80" i="50" l="1"/>
  <c r="J51" i="50"/>
  <c r="J16" i="50"/>
  <c r="J46" i="50"/>
  <c r="J95" i="50"/>
  <c r="J68" i="50"/>
  <c r="J37" i="50"/>
  <c r="J25" i="50"/>
  <c r="J97" i="50" l="1"/>
  <c r="J98" i="50" l="1"/>
  <c r="J99" i="50" l="1"/>
  <c r="J100" i="50" l="1"/>
  <c r="J101" i="50" s="1"/>
  <c r="J102" i="50" s="1"/>
</calcChain>
</file>

<file path=xl/sharedStrings.xml><?xml version="1.0" encoding="utf-8"?>
<sst xmlns="http://schemas.openxmlformats.org/spreadsheetml/2006/main" count="103" uniqueCount="97">
  <si>
    <t>Organizasyon RFQ - Fiyat Teklifi Formu</t>
  </si>
  <si>
    <t>Form No :</t>
  </si>
  <si>
    <t>MSD Yetkilisi :</t>
  </si>
  <si>
    <t>RFQ Euro Kur:</t>
  </si>
  <si>
    <t>Teklif Veren Firma :</t>
  </si>
  <si>
    <t xml:space="preserve">Organizasyon Adı : </t>
  </si>
  <si>
    <t xml:space="preserve">Organizasyon Tarihi : </t>
  </si>
  <si>
    <t>Organizasyon Yeri :</t>
  </si>
  <si>
    <t>Açıklama</t>
  </si>
  <si>
    <t>Not</t>
  </si>
  <si>
    <t>Gün</t>
  </si>
  <si>
    <r>
      <t>Kişi /</t>
    </r>
    <r>
      <rPr>
        <b/>
        <sz val="10"/>
        <rFont val="Arial"/>
        <family val="2"/>
        <charset val="162"/>
      </rPr>
      <t xml:space="preserve">
</t>
    </r>
    <r>
      <rPr>
        <b/>
        <sz val="10"/>
        <color indexed="10"/>
        <rFont val="Arial"/>
        <family val="2"/>
        <charset val="162"/>
      </rPr>
      <t>Adet</t>
    </r>
  </si>
  <si>
    <t>Euro
Birim Fiyat</t>
  </si>
  <si>
    <t>Euro
Toplam</t>
  </si>
  <si>
    <t>TL
Birim Fiyat</t>
  </si>
  <si>
    <t>TL 
Ara Toplam</t>
  </si>
  <si>
    <t>Genel Toplam</t>
  </si>
  <si>
    <t>KONAKLAMA</t>
  </si>
  <si>
    <t>Konaklama Ara Toplam :</t>
  </si>
  <si>
    <t>YİYECEK-İÇECEK &amp; DİĞER OTEL SERVİSLERİ</t>
  </si>
  <si>
    <t>Yiyecek-İçecek &amp; Diğer Otel Servisleri Servisleri Ara Toplam :</t>
  </si>
  <si>
    <t>TEKNİK EKİPMANLAR</t>
  </si>
  <si>
    <t>Teknik Ekipmanlar Ara Toplam :</t>
  </si>
  <si>
    <t>DEKOR</t>
  </si>
  <si>
    <t>Kayıt Deski / Lobby</t>
  </si>
  <si>
    <t>Yönlendirme Panosu</t>
  </si>
  <si>
    <t>Dekor Ara Toplam :</t>
  </si>
  <si>
    <t>KIDEM ÖDÜLLERİ</t>
  </si>
  <si>
    <t>Kıdem Ödül Atkıları</t>
  </si>
  <si>
    <t>Kıdem Atkıları Ütü</t>
  </si>
  <si>
    <t>Kıdem Plaket + Kadife Kutu</t>
  </si>
  <si>
    <t>Kıdem Ödülleri Ara Toplam :</t>
  </si>
  <si>
    <t>TRANSFER</t>
  </si>
  <si>
    <t>Sanatçı Transfer</t>
  </si>
  <si>
    <t>Transfer Ara Toplam :</t>
  </si>
  <si>
    <t>NAKLİYE / HAMMALİYE</t>
  </si>
  <si>
    <t>Nakliye / Hammaliye Ara Toplam :</t>
  </si>
  <si>
    <t>ORTAK GÜN AKTİVİTE</t>
  </si>
  <si>
    <t>Sanatçı</t>
  </si>
  <si>
    <t>Gala Yemeği Süsleme</t>
  </si>
  <si>
    <t>Gala Yemeği Süsleme Nakliye</t>
  </si>
  <si>
    <t>Ortak Gün Aktivite Ara Toplam :</t>
  </si>
  <si>
    <t>BASILI &amp; KIRTASİYE MALZEME</t>
  </si>
  <si>
    <t>Renkli Yaka İpi</t>
  </si>
  <si>
    <t>Yaka Kartı</t>
  </si>
  <si>
    <t>Menü Kartı</t>
  </si>
  <si>
    <t>Hoşgeldiniz Mektubu (MSD)</t>
  </si>
  <si>
    <t>Konuşmacı Kartı - A5 Yatay</t>
  </si>
  <si>
    <t>Transfer Araç Önü</t>
  </si>
  <si>
    <t>Basılı &amp; Kırtasiye Malzeme Ara Toplam :</t>
  </si>
  <si>
    <t>Etkinlik Yöneticisi (Günlük)</t>
  </si>
  <si>
    <t>Grup Yöneticisi (Günlük)</t>
  </si>
  <si>
    <t>Part-time Personel (Kişi bedeli)</t>
  </si>
  <si>
    <t>Ambulans</t>
  </si>
  <si>
    <t>Otel Bahşiş</t>
  </si>
  <si>
    <t>Hizmet Ekipleri &amp; Diğer Servisler Ara Toplam :</t>
  </si>
  <si>
    <t>Alınan Servisler Toplamı :</t>
  </si>
  <si>
    <t>Servis Bedelleri Toplamı :</t>
  </si>
  <si>
    <t>RFQ GENEL TOPLAM :</t>
  </si>
  <si>
    <t>Toplantı Salonu :</t>
  </si>
  <si>
    <t>Salon Düzeni :</t>
  </si>
  <si>
    <t>Yemek Salonu :</t>
  </si>
  <si>
    <t>Kişi Sayısı :</t>
  </si>
  <si>
    <t>Opsiyon Tarihi :</t>
  </si>
  <si>
    <t>Konaklama (Single)</t>
  </si>
  <si>
    <t>Konaklama (Double)</t>
  </si>
  <si>
    <t>Toplantı Paketi (Tam gün)</t>
  </si>
  <si>
    <t>Gala Yemeği (Limitsiz Alkollü İçecek ile - 3 Saat Süreli)</t>
  </si>
  <si>
    <t>Dış Katılım (Günlük)</t>
  </si>
  <si>
    <t>Öğle Yemeği Farkı (Check-In Günü)</t>
  </si>
  <si>
    <t>Öğle Yemeği Farkı (Check-Out Günü)</t>
  </si>
  <si>
    <t>Gala Yemeği Canlı Müzik Teknik Ekipman</t>
  </si>
  <si>
    <t xml:space="preserve">Simultane Tercüman </t>
  </si>
  <si>
    <t>Sahne &amp; Podyum</t>
  </si>
  <si>
    <t>Havalimanı - Otel - Havalimanı (çift Yön)</t>
  </si>
  <si>
    <t>Sanatçı Kulis Giderleri</t>
  </si>
  <si>
    <t>Hoşgeldiniz Mektubu (S.T.O.K. MICE)</t>
  </si>
  <si>
    <t>Diplomat Zarf / Düz Beyaz</t>
  </si>
  <si>
    <t>Diplomat Zarf / Logo Baskılı Beyaz</t>
  </si>
  <si>
    <t>HİZMET EKİPLERİ &amp; DİĞER SERVİSLER</t>
  </si>
  <si>
    <t>Teknik &amp; Dekor &amp; Part-Time &amp; Hamal &amp; STOK Ekip Ulaşım Yemek İaşe</t>
  </si>
  <si>
    <t>Dekor Nakliye / Hammaliye</t>
  </si>
  <si>
    <t>Malzeme Nakliyesi &amp; Hammaliyesi</t>
  </si>
  <si>
    <t>Konaklama (Single) Ultra Herşey Dahil</t>
  </si>
  <si>
    <t>Sanatçı Uçak Bileti (Business)</t>
  </si>
  <si>
    <t>Sanatçı Konaklama</t>
  </si>
  <si>
    <t>Prodüksiyon ve Fotoğraf/Aktüel Kameraman Ekibi</t>
  </si>
  <si>
    <t>Ambulans Ekibi Konaklama</t>
  </si>
  <si>
    <t xml:space="preserve">DJ </t>
  </si>
  <si>
    <t>Jenaratör Yakıt Bedeli</t>
  </si>
  <si>
    <t>Teknik Ekipman - Nakliye / Hammaliye</t>
  </si>
  <si>
    <t>Fuaye Bölümü için çift taraf pano</t>
  </si>
  <si>
    <t>Sahne Çizim / Tasarım</t>
  </si>
  <si>
    <t xml:space="preserve">Servis Bedeli </t>
  </si>
  <si>
    <t>KDV %0</t>
  </si>
  <si>
    <t>KDV %10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</si>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</sst>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41F]d\ mmmm\ yyyy;@"/>
    <numFmt numFmtId="165" formatCode="#,##0.00\ &quot;TL&quot;"/>
    <numFmt numFmtId="166" formatCode="#,##0\ [$EUR];\-#,##0\ [$EUR]"/>
    <numFmt numFmtId="167" formatCode="#,##0\ [$EUR]"/>
    <numFmt numFmtId="168" formatCode="#,##0.0000;[Red]#,##0.0000"/>
    <numFmt numFmtId="169" formatCode="_(* #,##0.00_);_(* \(#,##0.00\);_(* &quot;-&quot;??_);_(@_)"/>
    <numFmt numFmtId="170" formatCode="[$-41F]mmmm\ yy;@"/>
  </numFmts>
  <fonts count="17" x14ac:knownFonts="1">
    <font>
      <sz val="10"/>
      <name val="Arial"/>
      <charset val="162"/>
    </font>
    <font>
      <sz val="10"/>
      <name val="Arial"/>
      <family val="2"/>
      <charset val="162"/>
    </font>
    <font>
      <b/>
      <sz val="24"/>
      <color indexed="10"/>
      <name val="Arial"/>
      <family val="2"/>
      <charset val="162"/>
    </font>
    <font>
      <sz val="14"/>
      <color indexed="10"/>
      <name val="Arial"/>
      <family val="2"/>
      <charset val="162"/>
    </font>
    <font>
      <sz val="12"/>
      <name val="Arial"/>
      <family val="2"/>
      <charset val="162"/>
    </font>
    <font>
      <sz val="10"/>
      <color indexed="10"/>
      <name val="Arial"/>
      <family val="2"/>
      <charset val="162"/>
    </font>
    <font>
      <b/>
      <sz val="10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indexed="10"/>
      <name val="Arial"/>
      <family val="2"/>
      <charset val="162"/>
    </font>
    <font>
      <sz val="10"/>
      <color theme="0" tint="-0.249977111117893"/>
      <name val="Arial"/>
      <family val="2"/>
      <charset val="162"/>
    </font>
    <font>
      <b/>
      <sz val="10"/>
      <color theme="0" tint="-0.249977111117893"/>
      <name val="Arial"/>
      <family val="2"/>
      <charset val="162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42">
    <xf numFmtId="0" fontId="0" fillId="0" borderId="0" xfId="0"/>
    <xf numFmtId="0" fontId="1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24" xfId="0" applyFont="1" applyBorder="1" applyAlignment="1">
      <alignment horizontal="right" vertical="center"/>
    </xf>
    <xf numFmtId="0" fontId="1" fillId="0" borderId="22" xfId="0" applyFont="1" applyBorder="1" applyAlignment="1">
      <alignment vertical="center"/>
    </xf>
    <xf numFmtId="1" fontId="11" fillId="0" borderId="9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right" vertical="center"/>
    </xf>
    <xf numFmtId="165" fontId="6" fillId="0" borderId="9" xfId="0" applyNumberFormat="1" applyFont="1" applyBorder="1" applyAlignment="1">
      <alignment horizontal="left" vertical="center"/>
    </xf>
    <xf numFmtId="165" fontId="6" fillId="0" borderId="9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1" fillId="0" borderId="23" xfId="0" applyFont="1" applyBorder="1" applyAlignment="1">
      <alignment vertical="center" wrapText="1"/>
    </xf>
    <xf numFmtId="1" fontId="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4" fontId="1" fillId="0" borderId="23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8" fontId="6" fillId="0" borderId="2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70" fontId="1" fillId="0" borderId="23" xfId="0" applyNumberFormat="1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164" fontId="1" fillId="0" borderId="23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vertical="center"/>
    </xf>
    <xf numFmtId="0" fontId="9" fillId="0" borderId="27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 wrapText="1"/>
    </xf>
    <xf numFmtId="1" fontId="6" fillId="0" borderId="27" xfId="0" applyNumberFormat="1" applyFont="1" applyBorder="1" applyAlignment="1">
      <alignment horizontal="right" vertical="center" wrapText="1"/>
    </xf>
    <xf numFmtId="1" fontId="6" fillId="0" borderId="21" xfId="0" applyNumberFormat="1" applyFont="1" applyBorder="1" applyAlignment="1">
      <alignment horizontal="right" vertical="center" wrapText="1"/>
    </xf>
    <xf numFmtId="165" fontId="9" fillId="0" borderId="27" xfId="0" applyNumberFormat="1" applyFont="1" applyBorder="1" applyAlignment="1">
      <alignment horizontal="right" vertical="center" wrapText="1"/>
    </xf>
    <xf numFmtId="165" fontId="9" fillId="0" borderId="28" xfId="0" applyNumberFormat="1" applyFont="1" applyBorder="1" applyAlignment="1">
      <alignment horizontal="right" vertical="center" wrapText="1"/>
    </xf>
    <xf numFmtId="165" fontId="9" fillId="0" borderId="3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3" xfId="0" applyFont="1" applyBorder="1" applyAlignment="1">
      <alignment vertical="center"/>
    </xf>
    <xf numFmtId="1" fontId="6" fillId="0" borderId="13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165" fontId="6" fillId="0" borderId="13" xfId="0" applyNumberFormat="1" applyFont="1" applyBorder="1" applyAlignment="1">
      <alignment vertical="center"/>
    </xf>
    <xf numFmtId="165" fontId="6" fillId="0" borderId="14" xfId="0" applyNumberFormat="1" applyFont="1" applyBorder="1" applyAlignment="1">
      <alignment vertical="center"/>
    </xf>
    <xf numFmtId="1" fontId="1" fillId="0" borderId="18" xfId="0" applyNumberFormat="1" applyFont="1" applyBorder="1" applyAlignment="1">
      <alignment horizontal="center" vertical="center"/>
    </xf>
    <xf numFmtId="167" fontId="7" fillId="0" borderId="20" xfId="0" applyNumberFormat="1" applyFont="1" applyBorder="1" applyAlignment="1">
      <alignment vertical="center"/>
    </xf>
    <xf numFmtId="165" fontId="6" fillId="0" borderId="19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1" fontId="1" fillId="0" borderId="17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vertical="center"/>
    </xf>
    <xf numFmtId="165" fontId="8" fillId="0" borderId="10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vertical="center"/>
    </xf>
    <xf numFmtId="165" fontId="7" fillId="0" borderId="20" xfId="0" applyNumberFormat="1" applyFont="1" applyBorder="1" applyAlignment="1">
      <alignment vertical="center"/>
    </xf>
    <xf numFmtId="166" fontId="10" fillId="0" borderId="16" xfId="0" applyNumberFormat="1" applyFont="1" applyBorder="1" applyAlignment="1">
      <alignment vertical="center"/>
    </xf>
    <xf numFmtId="167" fontId="10" fillId="0" borderId="2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" fontId="8" fillId="0" borderId="29" xfId="0" applyNumberFormat="1" applyFont="1" applyBorder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65" fontId="8" fillId="0" borderId="6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9" fontId="14" fillId="0" borderId="0" xfId="2" applyNumberFormat="1" applyFont="1" applyFill="1" applyBorder="1" applyAlignment="1">
      <alignment horizontal="center" vertical="center"/>
    </xf>
    <xf numFmtId="165" fontId="13" fillId="0" borderId="38" xfId="0" applyNumberFormat="1" applyFont="1" applyBorder="1" applyAlignment="1">
      <alignment horizontal="right" vertical="center"/>
    </xf>
    <xf numFmtId="165" fontId="13" fillId="0" borderId="39" xfId="0" applyNumberFormat="1" applyFont="1" applyBorder="1" applyAlignment="1">
      <alignment horizontal="right" vertical="center"/>
    </xf>
    <xf numFmtId="165" fontId="13" fillId="0" borderId="40" xfId="0" applyNumberFormat="1" applyFont="1" applyBorder="1" applyAlignment="1">
      <alignment horizontal="right" vertical="center"/>
    </xf>
    <xf numFmtId="0" fontId="13" fillId="0" borderId="29" xfId="0" applyFont="1" applyBorder="1" applyAlignment="1">
      <alignment vertical="center"/>
    </xf>
    <xf numFmtId="165" fontId="13" fillId="0" borderId="43" xfId="0" applyNumberFormat="1" applyFont="1" applyBorder="1" applyAlignment="1">
      <alignment horizontal="right" vertical="center"/>
    </xf>
    <xf numFmtId="0" fontId="13" fillId="0" borderId="29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" fontId="8" fillId="0" borderId="5" xfId="0" applyNumberFormat="1" applyFont="1" applyBorder="1" applyAlignment="1">
      <alignment horizontal="right" vertical="center"/>
    </xf>
    <xf numFmtId="1" fontId="8" fillId="0" borderId="9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32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13" fillId="0" borderId="44" xfId="0" applyFont="1" applyBorder="1" applyAlignment="1">
      <alignment horizontal="right" vertical="center"/>
    </xf>
    <xf numFmtId="0" fontId="13" fillId="0" borderId="37" xfId="0" applyFont="1" applyBorder="1" applyAlignment="1">
      <alignment horizontal="right" vertical="center"/>
    </xf>
    <xf numFmtId="0" fontId="13" fillId="0" borderId="45" xfId="0" applyFont="1" applyBorder="1" applyAlignment="1">
      <alignment horizontal="right" vertical="center"/>
    </xf>
    <xf numFmtId="0" fontId="13" fillId="0" borderId="41" xfId="0" applyFont="1" applyBorder="1" applyAlignment="1">
      <alignment horizontal="right" vertical="center"/>
    </xf>
    <xf numFmtId="0" fontId="13" fillId="0" borderId="36" xfId="0" applyFont="1" applyBorder="1" applyAlignment="1">
      <alignment horizontal="right" vertical="center"/>
    </xf>
    <xf numFmtId="0" fontId="13" fillId="0" borderId="42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15" fillId="0" borderId="25" xfId="0" applyFont="1" applyBorder="1" applyAlignment="1">
      <alignment vertical="center"/>
    </xf>
    <xf numFmtId="0" fontId="15" fillId="0" borderId="30" xfId="0" applyFont="1" applyBorder="1" applyAlignment="1">
      <alignment vertical="center" wrapText="1"/>
    </xf>
    <xf numFmtId="0" fontId="15" fillId="0" borderId="26" xfId="0" applyFont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166" fontId="15" fillId="0" borderId="26" xfId="0" applyNumberFormat="1" applyFont="1" applyBorder="1" applyAlignment="1">
      <alignment vertical="center"/>
    </xf>
    <xf numFmtId="167" fontId="15" fillId="0" borderId="20" xfId="0" applyNumberFormat="1" applyFont="1" applyBorder="1" applyAlignment="1">
      <alignment vertical="center"/>
    </xf>
    <xf numFmtId="165" fontId="15" fillId="0" borderId="16" xfId="0" applyNumberFormat="1" applyFont="1" applyBorder="1" applyAlignment="1">
      <alignment vertical="center"/>
    </xf>
    <xf numFmtId="165" fontId="15" fillId="0" borderId="20" xfId="0" applyNumberFormat="1" applyFont="1" applyBorder="1" applyAlignment="1">
      <alignment vertical="center"/>
    </xf>
    <xf numFmtId="165" fontId="16" fillId="0" borderId="19" xfId="0" applyNumberFormat="1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8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66" fontId="15" fillId="0" borderId="16" xfId="0" applyNumberFormat="1" applyFont="1" applyBorder="1" applyAlignment="1">
      <alignment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15" fillId="0" borderId="33" xfId="0" applyNumberFormat="1" applyFont="1" applyBorder="1" applyAlignment="1">
      <alignment vertical="center"/>
    </xf>
    <xf numFmtId="166" fontId="15" fillId="0" borderId="34" xfId="0" applyNumberFormat="1" applyFont="1" applyBorder="1" applyAlignment="1">
      <alignment vertical="center"/>
    </xf>
    <xf numFmtId="165" fontId="15" fillId="0" borderId="33" xfId="0" applyNumberFormat="1" applyFont="1" applyBorder="1" applyAlignment="1">
      <alignment vertical="center"/>
    </xf>
    <xf numFmtId="165" fontId="15" fillId="0" borderId="34" xfId="0" applyNumberFormat="1" applyFont="1" applyBorder="1" applyAlignment="1">
      <alignment vertical="center"/>
    </xf>
    <xf numFmtId="1" fontId="16" fillId="0" borderId="5" xfId="0" applyNumberFormat="1" applyFont="1" applyBorder="1" applyAlignment="1">
      <alignment horizontal="right" vertical="center"/>
    </xf>
    <xf numFmtId="1" fontId="16" fillId="0" borderId="9" xfId="0" applyNumberFormat="1" applyFont="1" applyBorder="1" applyAlignment="1">
      <alignment horizontal="right" vertical="center"/>
    </xf>
    <xf numFmtId="165" fontId="16" fillId="0" borderId="10" xfId="0" applyNumberFormat="1" applyFont="1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1" fontId="16" fillId="0" borderId="13" xfId="0" applyNumberFormat="1" applyFont="1" applyBorder="1" applyAlignment="1">
      <alignment vertical="center"/>
    </xf>
    <xf numFmtId="165" fontId="16" fillId="0" borderId="13" xfId="0" applyNumberFormat="1" applyFont="1" applyBorder="1" applyAlignment="1">
      <alignment vertical="center"/>
    </xf>
    <xf numFmtId="165" fontId="16" fillId="0" borderId="14" xfId="0" applyNumberFormat="1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6" fillId="0" borderId="35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vertical="center" wrapText="1"/>
    </xf>
  </cellXfs>
  <cellStyles count="4">
    <cellStyle name="Comma 3" xfId="2" xr:uid="{15D47E5C-FA77-4EF1-BA35-7FA4181C918C}"/>
    <cellStyle name="Comma 3 2" xfId="3" xr:uid="{2B643BDB-C7AD-4638-B2C6-7C072B81EEF7}"/>
    <cellStyle name="Normal" xfId="0" builtinId="0"/>
    <cellStyle name="Normal 2" xfId="1" xr:uid="{00000000-0005-0000-0000-000001000000}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FF9933"/>
      <color rgb="FF00FF00"/>
      <color rgb="FFFFFF99"/>
      <color rgb="FF0000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250031</xdr:colOff>
      <xdr:row>1</xdr:row>
      <xdr:rowOff>68604</xdr:rowOff>
    </xdr:from>
    <xdr:to>
      <xdr:col>9</xdr:col>
      <xdr:colOff>987161</xdr:colOff>
      <xdr:row>1</xdr:row>
      <xdr:rowOff>803203</xdr:rowOff>
    </xdr:to>
    <xdr:pic>
      <xdr:nvPicPr>
        <xdr:cNvPr id="3" name="Resim 2" descr="STOK MICE - Community | Facebook">
          <a:extLst>
            <a:ext uri="{FF2B5EF4-FFF2-40B4-BE49-F238E27FC236}">
              <a16:creationId xmlns:a16="http://schemas.microsoft.com/office/drawing/2014/main" id="{23E19D07-C238-40E4-942E-EE6246F9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3956" y="240054"/>
          <a:ext cx="731415" cy="736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142872</xdr:colOff>
      <xdr:row>1</xdr:row>
      <xdr:rowOff>68374</xdr:rowOff>
    </xdr:from>
    <xdr:to>
      <xdr:col>1</xdr:col>
      <xdr:colOff>2244920</xdr:colOff>
      <xdr:row>1</xdr:row>
      <xdr:rowOff>797241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4747840-631B-4560-9D5E-DAB5B55A2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21" t="34722" r="25334" b="34896"/>
        <a:stretch/>
      </xdr:blipFill>
      <xdr:spPr>
        <a:xfrm>
          <a:off x="1095372" y="239824"/>
          <a:ext cx="2092523" cy="717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A45-4C7A-451C-9756-E700BA329F79}">
  <sheetPr>
    <tabColor theme="5" tint="0.39997558519241921"/>
    <pageSetUpPr fitToPage="1"/>
  </sheetPr>
  <dimension ref="B1:J102"/>
  <sheetViews>
    <sheetView showGridLines="0" tabSelected="1" topLeftCell="B1" zoomScale="90" zoomScaleNormal="90" workbookViewId="0">
      <selection activeCell="B2" sqref="B2:J2"/>
    </sheetView>
  </sheetViews>
  <sheetFormatPr baseColWidth="10" defaultColWidth="9.1640625" defaultRowHeight="13" x14ac:dyDescent="0.15"/>
  <cols>
    <col min="1" max="1" width="2.6640625" style="3" customWidth="1"/>
    <col min="2" max="2" width="53.33203125" style="3" bestFit="1" customWidth="1"/>
    <col min="3" max="3" width="40" style="3" bestFit="1" customWidth="1"/>
    <col min="4" max="4" width="8.6640625" style="3" customWidth="1"/>
    <col min="5" max="5" width="8.6640625" style="4" customWidth="1"/>
    <col min="6" max="6" width="14.6640625" style="5" customWidth="1"/>
    <col min="7" max="7" width="14.6640625" style="6" customWidth="1"/>
    <col min="8" max="8" width="15.5" style="7" bestFit="1" customWidth="1"/>
    <col min="9" max="9" width="15.5" style="8" bestFit="1" customWidth="1"/>
    <col min="10" max="10" width="18.1640625" style="9" customWidth="1"/>
    <col min="11" max="16384" width="9.1640625" style="3"/>
  </cols>
  <sheetData>
    <row r="1" spans="2:10" ht="14" thickBot="1" x14ac:dyDescent="0.2"/>
    <row r="2" spans="2:10" s="11" customFormat="1" ht="70" customHeight="1" thickBot="1" x14ac:dyDescent="0.2">
      <c r="B2" s="90" t="s">
        <v>0</v>
      </c>
      <c r="C2" s="91"/>
      <c r="D2" s="91"/>
      <c r="E2" s="91"/>
      <c r="F2" s="91"/>
      <c r="G2" s="91"/>
      <c r="H2" s="91"/>
      <c r="I2" s="91"/>
      <c r="J2" s="92"/>
    </row>
    <row r="3" spans="2:10" ht="14" thickBot="1" x14ac:dyDescent="0.2"/>
    <row r="4" spans="2:10" ht="20" customHeight="1" x14ac:dyDescent="0.15">
      <c r="B4" s="12" t="s">
        <v>1</v>
      </c>
      <c r="C4" s="13"/>
      <c r="D4" s="93"/>
      <c r="E4" s="94"/>
      <c r="F4" s="14"/>
      <c r="G4" s="15"/>
      <c r="H4" s="16"/>
      <c r="I4" s="17"/>
      <c r="J4" s="18"/>
    </row>
    <row r="5" spans="2:10" ht="20" customHeight="1" x14ac:dyDescent="0.15">
      <c r="B5" s="19" t="s">
        <v>2</v>
      </c>
      <c r="C5" s="20"/>
      <c r="D5" s="95" t="s">
        <v>59</v>
      </c>
      <c r="E5" s="96"/>
      <c r="F5" s="21"/>
      <c r="G5" s="22"/>
      <c r="H5" s="23"/>
      <c r="I5" s="23"/>
      <c r="J5" s="24"/>
    </row>
    <row r="6" spans="2:10" ht="20" customHeight="1" x14ac:dyDescent="0.15">
      <c r="B6" s="19" t="s">
        <v>4</v>
      </c>
      <c r="C6" s="25"/>
      <c r="D6" s="95" t="s">
        <v>60</v>
      </c>
      <c r="E6" s="96"/>
      <c r="F6" s="21"/>
      <c r="G6" s="26"/>
      <c r="H6" s="27"/>
      <c r="I6" s="28" t="s">
        <v>3</v>
      </c>
      <c r="J6" s="29">
        <v>38</v>
      </c>
    </row>
    <row r="7" spans="2:10" ht="20" customHeight="1" x14ac:dyDescent="0.15">
      <c r="B7" s="30" t="s">
        <v>5</v>
      </c>
      <c r="C7" s="20"/>
      <c r="D7" s="95" t="s">
        <v>61</v>
      </c>
      <c r="E7" s="96"/>
      <c r="F7" s="21"/>
      <c r="G7" s="31"/>
      <c r="H7" s="23"/>
      <c r="I7" s="32"/>
      <c r="J7" s="33"/>
    </row>
    <row r="8" spans="2:10" s="34" customFormat="1" ht="20" customHeight="1" x14ac:dyDescent="0.15">
      <c r="B8" s="30" t="s">
        <v>6</v>
      </c>
      <c r="C8" s="35"/>
      <c r="D8" s="95" t="s">
        <v>62</v>
      </c>
      <c r="E8" s="96"/>
      <c r="F8" s="21"/>
      <c r="G8" s="36"/>
      <c r="H8" s="27"/>
      <c r="I8" s="32"/>
      <c r="J8" s="33"/>
    </row>
    <row r="9" spans="2:10" s="34" customFormat="1" ht="20" customHeight="1" thickBot="1" x14ac:dyDescent="0.2">
      <c r="B9" s="30" t="s">
        <v>7</v>
      </c>
      <c r="C9" s="37"/>
      <c r="D9" s="97" t="s">
        <v>63</v>
      </c>
      <c r="E9" s="98"/>
      <c r="F9" s="38"/>
      <c r="G9" s="26"/>
      <c r="H9" s="27"/>
      <c r="I9" s="39"/>
      <c r="J9" s="40"/>
    </row>
    <row r="10" spans="2:10" s="50" customFormat="1" ht="30" customHeight="1" thickBot="1" x14ac:dyDescent="0.2">
      <c r="B10" s="41" t="s">
        <v>8</v>
      </c>
      <c r="C10" s="42" t="s">
        <v>9</v>
      </c>
      <c r="D10" s="43" t="s">
        <v>10</v>
      </c>
      <c r="E10" s="44" t="s">
        <v>11</v>
      </c>
      <c r="F10" s="45" t="s">
        <v>12</v>
      </c>
      <c r="G10" s="46" t="s">
        <v>13</v>
      </c>
      <c r="H10" s="47" t="s">
        <v>14</v>
      </c>
      <c r="I10" s="48" t="s">
        <v>15</v>
      </c>
      <c r="J10" s="49" t="s">
        <v>16</v>
      </c>
    </row>
    <row r="11" spans="2:10" s="51" customFormat="1" ht="15.75" customHeight="1" thickBot="1" x14ac:dyDescent="0.2">
      <c r="B11" s="86" t="s">
        <v>17</v>
      </c>
      <c r="C11" s="87"/>
      <c r="D11" s="52"/>
      <c r="E11" s="53"/>
      <c r="F11" s="54"/>
      <c r="G11" s="54"/>
      <c r="H11" s="55"/>
      <c r="I11" s="55"/>
      <c r="J11" s="56"/>
    </row>
    <row r="12" spans="2:10" s="10" customFormat="1" ht="15.75" customHeight="1" x14ac:dyDescent="0.15">
      <c r="B12" s="108" t="s">
        <v>83</v>
      </c>
      <c r="C12" s="109"/>
      <c r="D12" s="110"/>
      <c r="E12" s="111"/>
      <c r="F12" s="112">
        <v>0</v>
      </c>
      <c r="G12" s="113">
        <f t="shared" ref="G12:G22" si="0">D12*E12*F12</f>
        <v>0</v>
      </c>
      <c r="H12" s="114">
        <v>0</v>
      </c>
      <c r="I12" s="115">
        <f t="shared" ref="I12:I14" si="1">D12*E12*H12</f>
        <v>0</v>
      </c>
      <c r="J12" s="116">
        <f>(G12*$J$6)+(G12*$J$7)+I12</f>
        <v>0</v>
      </c>
    </row>
    <row r="13" spans="2:10" s="10" customFormat="1" ht="15.75" customHeight="1" x14ac:dyDescent="0.15">
      <c r="B13" s="117" t="s">
        <v>64</v>
      </c>
      <c r="C13" s="118"/>
      <c r="D13" s="119"/>
      <c r="E13" s="120"/>
      <c r="F13" s="121">
        <v>0</v>
      </c>
      <c r="G13" s="113">
        <f t="shared" si="0"/>
        <v>0</v>
      </c>
      <c r="H13" s="114">
        <v>0</v>
      </c>
      <c r="I13" s="115">
        <f t="shared" si="1"/>
        <v>0</v>
      </c>
      <c r="J13" s="116">
        <f t="shared" ref="J13:J14" si="2">(G13*$J$6)+(G13*$J$7)+I13</f>
        <v>0</v>
      </c>
    </row>
    <row r="14" spans="2:10" s="10" customFormat="1" ht="15.75" customHeight="1" x14ac:dyDescent="0.15">
      <c r="B14" s="117" t="s">
        <v>65</v>
      </c>
      <c r="C14" s="118"/>
      <c r="D14" s="119"/>
      <c r="E14" s="120"/>
      <c r="F14" s="121">
        <v>0</v>
      </c>
      <c r="G14" s="113">
        <f t="shared" si="0"/>
        <v>0</v>
      </c>
      <c r="H14" s="114">
        <v>0</v>
      </c>
      <c r="I14" s="115">
        <f t="shared" si="1"/>
        <v>0</v>
      </c>
      <c r="J14" s="116">
        <f t="shared" si="2"/>
        <v>0</v>
      </c>
    </row>
    <row r="15" spans="2:10" s="10" customFormat="1" ht="15.75" customHeight="1" thickBot="1" x14ac:dyDescent="0.2">
      <c r="B15" s="117"/>
      <c r="C15" s="118"/>
      <c r="D15" s="122"/>
      <c r="E15" s="123"/>
      <c r="F15" s="124"/>
      <c r="G15" s="125"/>
      <c r="H15" s="126"/>
      <c r="I15" s="127"/>
      <c r="J15" s="116"/>
    </row>
    <row r="16" spans="2:10" ht="15.75" customHeight="1" thickBot="1" x14ac:dyDescent="0.2">
      <c r="B16" s="128" t="s">
        <v>18</v>
      </c>
      <c r="C16" s="129"/>
      <c r="D16" s="129"/>
      <c r="E16" s="129"/>
      <c r="F16" s="129"/>
      <c r="G16" s="129"/>
      <c r="H16" s="129"/>
      <c r="I16" s="129"/>
      <c r="J16" s="130">
        <f>SUM(J12:J15)</f>
        <v>0</v>
      </c>
    </row>
    <row r="17" spans="2:10" s="51" customFormat="1" ht="15.75" customHeight="1" thickBot="1" x14ac:dyDescent="0.2">
      <c r="B17" s="131" t="s">
        <v>19</v>
      </c>
      <c r="C17" s="132"/>
      <c r="D17" s="133"/>
      <c r="E17" s="134"/>
      <c r="F17" s="133"/>
      <c r="G17" s="133"/>
      <c r="H17" s="135"/>
      <c r="I17" s="135"/>
      <c r="J17" s="136"/>
    </row>
    <row r="18" spans="2:10" s="10" customFormat="1" x14ac:dyDescent="0.15">
      <c r="B18" s="117" t="s">
        <v>66</v>
      </c>
      <c r="C18" s="118"/>
      <c r="D18" s="110"/>
      <c r="E18" s="111"/>
      <c r="F18" s="112">
        <v>0</v>
      </c>
      <c r="G18" s="113">
        <f t="shared" si="0"/>
        <v>0</v>
      </c>
      <c r="H18" s="114">
        <v>0</v>
      </c>
      <c r="I18" s="115">
        <f t="shared" ref="I18:I22" si="3">D18*E18*H18</f>
        <v>0</v>
      </c>
      <c r="J18" s="116">
        <f t="shared" ref="J18:J22" si="4">(G18*$J$6)+(G18*$J$7)+I18</f>
        <v>0</v>
      </c>
    </row>
    <row r="19" spans="2:10" ht="15.75" customHeight="1" x14ac:dyDescent="0.15">
      <c r="B19" s="117" t="s">
        <v>67</v>
      </c>
      <c r="C19" s="118"/>
      <c r="D19" s="110"/>
      <c r="E19" s="111"/>
      <c r="F19" s="112">
        <v>0</v>
      </c>
      <c r="G19" s="113">
        <f t="shared" si="0"/>
        <v>0</v>
      </c>
      <c r="H19" s="114">
        <v>0</v>
      </c>
      <c r="I19" s="115">
        <f t="shared" si="3"/>
        <v>0</v>
      </c>
      <c r="J19" s="116">
        <f t="shared" si="4"/>
        <v>0</v>
      </c>
    </row>
    <row r="20" spans="2:10" ht="15.75" customHeight="1" x14ac:dyDescent="0.15">
      <c r="B20" s="117" t="s">
        <v>68</v>
      </c>
      <c r="C20" s="118"/>
      <c r="D20" s="119"/>
      <c r="E20" s="111"/>
      <c r="F20" s="112">
        <v>0</v>
      </c>
      <c r="G20" s="113">
        <f t="shared" si="0"/>
        <v>0</v>
      </c>
      <c r="H20" s="114">
        <v>0</v>
      </c>
      <c r="I20" s="115">
        <f t="shared" si="3"/>
        <v>0</v>
      </c>
      <c r="J20" s="116">
        <f t="shared" si="4"/>
        <v>0</v>
      </c>
    </row>
    <row r="21" spans="2:10" ht="15.75" customHeight="1" x14ac:dyDescent="0.15">
      <c r="B21" s="117" t="s">
        <v>69</v>
      </c>
      <c r="C21" s="118"/>
      <c r="D21" s="119"/>
      <c r="E21" s="111"/>
      <c r="F21" s="112">
        <v>0</v>
      </c>
      <c r="G21" s="113">
        <f t="shared" si="0"/>
        <v>0</v>
      </c>
      <c r="H21" s="114">
        <v>0</v>
      </c>
      <c r="I21" s="115">
        <f t="shared" si="3"/>
        <v>0</v>
      </c>
      <c r="J21" s="116">
        <f t="shared" si="4"/>
        <v>0</v>
      </c>
    </row>
    <row r="22" spans="2:10" ht="15.75" customHeight="1" x14ac:dyDescent="0.15">
      <c r="B22" s="117" t="s">
        <v>70</v>
      </c>
      <c r="C22" s="118"/>
      <c r="D22" s="119"/>
      <c r="E22" s="111"/>
      <c r="F22" s="112">
        <v>0</v>
      </c>
      <c r="G22" s="113">
        <f t="shared" si="0"/>
        <v>0</v>
      </c>
      <c r="H22" s="114">
        <v>0</v>
      </c>
      <c r="I22" s="115">
        <f t="shared" si="3"/>
        <v>0</v>
      </c>
      <c r="J22" s="116">
        <f t="shared" si="4"/>
        <v>0</v>
      </c>
    </row>
    <row r="23" spans="2:10" ht="15.75" customHeight="1" x14ac:dyDescent="0.15">
      <c r="B23" s="117"/>
      <c r="C23" s="118"/>
      <c r="D23" s="119"/>
      <c r="E23" s="120"/>
      <c r="F23" s="121"/>
      <c r="G23" s="113"/>
      <c r="H23" s="114"/>
      <c r="I23" s="115"/>
      <c r="J23" s="116"/>
    </row>
    <row r="24" spans="2:10" s="10" customFormat="1" ht="15.75" customHeight="1" thickBot="1" x14ac:dyDescent="0.2">
      <c r="B24" s="117"/>
      <c r="C24" s="118"/>
      <c r="D24" s="119"/>
      <c r="E24" s="120"/>
      <c r="F24" s="121"/>
      <c r="G24" s="113"/>
      <c r="H24" s="114"/>
      <c r="I24" s="115"/>
      <c r="J24" s="116"/>
    </row>
    <row r="25" spans="2:10" ht="15.75" customHeight="1" thickBot="1" x14ac:dyDescent="0.2">
      <c r="B25" s="128" t="s">
        <v>20</v>
      </c>
      <c r="C25" s="129"/>
      <c r="D25" s="129"/>
      <c r="E25" s="129"/>
      <c r="F25" s="129"/>
      <c r="G25" s="129"/>
      <c r="H25" s="129"/>
      <c r="I25" s="129"/>
      <c r="J25" s="130">
        <f>SUM(J18:J24)</f>
        <v>0</v>
      </c>
    </row>
    <row r="26" spans="2:10" s="51" customFormat="1" ht="15.75" customHeight="1" thickBot="1" x14ac:dyDescent="0.2">
      <c r="B26" s="131" t="s">
        <v>21</v>
      </c>
      <c r="C26" s="132"/>
      <c r="D26" s="133"/>
      <c r="E26" s="134"/>
      <c r="F26" s="133"/>
      <c r="G26" s="133"/>
      <c r="H26" s="135"/>
      <c r="I26" s="135"/>
      <c r="J26" s="136"/>
    </row>
    <row r="27" spans="2:10" ht="27" customHeight="1" x14ac:dyDescent="0.15">
      <c r="B27" s="117" t="s">
        <v>88</v>
      </c>
      <c r="C27" s="118"/>
      <c r="D27" s="110"/>
      <c r="E27" s="111"/>
      <c r="F27" s="112">
        <v>0</v>
      </c>
      <c r="G27" s="113">
        <f t="shared" ref="G27:G34" si="5">D27*E27*F27</f>
        <v>0</v>
      </c>
      <c r="H27" s="114">
        <v>0</v>
      </c>
      <c r="I27" s="115">
        <f t="shared" ref="I27:I34" si="6">D27*E27*H27</f>
        <v>0</v>
      </c>
      <c r="J27" s="116">
        <f t="shared" ref="J27:J28" si="7">(G27*$J$6)+(G27*$J$7)+I27</f>
        <v>0</v>
      </c>
    </row>
    <row r="28" spans="2:10" ht="27" customHeight="1" x14ac:dyDescent="0.15">
      <c r="B28" s="117" t="s">
        <v>88</v>
      </c>
      <c r="C28" s="118"/>
      <c r="D28" s="110"/>
      <c r="E28" s="111"/>
      <c r="F28" s="121">
        <v>0</v>
      </c>
      <c r="G28" s="113">
        <f t="shared" si="5"/>
        <v>0</v>
      </c>
      <c r="H28" s="114">
        <v>0</v>
      </c>
      <c r="I28" s="115">
        <f t="shared" si="6"/>
        <v>0</v>
      </c>
      <c r="J28" s="116">
        <f t="shared" si="7"/>
        <v>0</v>
      </c>
    </row>
    <row r="29" spans="2:10" ht="15.75" customHeight="1" x14ac:dyDescent="0.15">
      <c r="B29" s="117" t="s">
        <v>71</v>
      </c>
      <c r="C29" s="118"/>
      <c r="D29" s="110"/>
      <c r="E29" s="111"/>
      <c r="F29" s="112">
        <v>0</v>
      </c>
      <c r="G29" s="113">
        <f t="shared" si="5"/>
        <v>0</v>
      </c>
      <c r="H29" s="114">
        <v>0</v>
      </c>
      <c r="I29" s="115">
        <f t="shared" si="6"/>
        <v>0</v>
      </c>
      <c r="J29" s="116">
        <f t="shared" ref="J29:J34" si="8">(G29*$J$6)+(G29*$J$7)+I29</f>
        <v>0</v>
      </c>
    </row>
    <row r="30" spans="2:10" ht="15.75" customHeight="1" x14ac:dyDescent="0.15">
      <c r="B30" s="117" t="s">
        <v>89</v>
      </c>
      <c r="C30" s="118"/>
      <c r="D30" s="110"/>
      <c r="E30" s="111"/>
      <c r="F30" s="112">
        <v>0</v>
      </c>
      <c r="G30" s="113">
        <f t="shared" si="5"/>
        <v>0</v>
      </c>
      <c r="H30" s="114">
        <v>0</v>
      </c>
      <c r="I30" s="115">
        <f t="shared" si="6"/>
        <v>0</v>
      </c>
      <c r="J30" s="116">
        <f t="shared" si="8"/>
        <v>0</v>
      </c>
    </row>
    <row r="31" spans="2:10" ht="15.75" customHeight="1" x14ac:dyDescent="0.15">
      <c r="B31" s="117" t="s">
        <v>90</v>
      </c>
      <c r="C31" s="118"/>
      <c r="D31" s="110"/>
      <c r="E31" s="111"/>
      <c r="F31" s="112">
        <v>0</v>
      </c>
      <c r="G31" s="113">
        <f t="shared" si="5"/>
        <v>0</v>
      </c>
      <c r="H31" s="114">
        <v>0</v>
      </c>
      <c r="I31" s="115">
        <f t="shared" si="6"/>
        <v>0</v>
      </c>
      <c r="J31" s="116">
        <f t="shared" si="8"/>
        <v>0</v>
      </c>
    </row>
    <row r="32" spans="2:10" ht="27" customHeight="1" x14ac:dyDescent="0.15">
      <c r="B32" s="117" t="s">
        <v>72</v>
      </c>
      <c r="C32" s="118"/>
      <c r="D32" s="110"/>
      <c r="E32" s="111"/>
      <c r="F32" s="121">
        <v>0</v>
      </c>
      <c r="G32" s="113">
        <f t="shared" si="5"/>
        <v>0</v>
      </c>
      <c r="H32" s="114">
        <v>0</v>
      </c>
      <c r="I32" s="115">
        <f t="shared" si="6"/>
        <v>0</v>
      </c>
      <c r="J32" s="116">
        <f t="shared" ref="J32:J33" si="9">(G32*$J$6)+(G32*$J$7)+I32</f>
        <v>0</v>
      </c>
    </row>
    <row r="33" spans="2:10" ht="27" customHeight="1" x14ac:dyDescent="0.15">
      <c r="B33" s="117" t="s">
        <v>72</v>
      </c>
      <c r="C33" s="118"/>
      <c r="D33" s="110"/>
      <c r="E33" s="111"/>
      <c r="F33" s="121">
        <v>0</v>
      </c>
      <c r="G33" s="113">
        <f t="shared" si="5"/>
        <v>0</v>
      </c>
      <c r="H33" s="114">
        <v>0</v>
      </c>
      <c r="I33" s="115">
        <f t="shared" si="6"/>
        <v>0</v>
      </c>
      <c r="J33" s="116">
        <f t="shared" si="9"/>
        <v>0</v>
      </c>
    </row>
    <row r="34" spans="2:10" ht="27" customHeight="1" x14ac:dyDescent="0.15">
      <c r="B34" s="117" t="s">
        <v>86</v>
      </c>
      <c r="C34" s="118"/>
      <c r="D34" s="110"/>
      <c r="E34" s="111"/>
      <c r="F34" s="121">
        <v>0</v>
      </c>
      <c r="G34" s="113">
        <f t="shared" si="5"/>
        <v>0</v>
      </c>
      <c r="H34" s="114">
        <v>0</v>
      </c>
      <c r="I34" s="115">
        <f t="shared" si="6"/>
        <v>0</v>
      </c>
      <c r="J34" s="116">
        <f t="shared" si="8"/>
        <v>0</v>
      </c>
    </row>
    <row r="35" spans="2:10" ht="15.75" customHeight="1" x14ac:dyDescent="0.15">
      <c r="B35" s="117"/>
      <c r="C35" s="118"/>
      <c r="D35" s="110"/>
      <c r="E35" s="111"/>
      <c r="F35" s="121"/>
      <c r="G35" s="113"/>
      <c r="H35" s="114"/>
      <c r="I35" s="115"/>
      <c r="J35" s="116"/>
    </row>
    <row r="36" spans="2:10" s="10" customFormat="1" ht="15.75" customHeight="1" thickBot="1" x14ac:dyDescent="0.2">
      <c r="B36" s="117"/>
      <c r="C36" s="118"/>
      <c r="D36" s="119"/>
      <c r="E36" s="120"/>
      <c r="F36" s="121"/>
      <c r="G36" s="113"/>
      <c r="H36" s="114"/>
      <c r="I36" s="115"/>
      <c r="J36" s="116"/>
    </row>
    <row r="37" spans="2:10" ht="15.75" customHeight="1" thickBot="1" x14ac:dyDescent="0.2">
      <c r="B37" s="128" t="s">
        <v>22</v>
      </c>
      <c r="C37" s="129"/>
      <c r="D37" s="129"/>
      <c r="E37" s="129"/>
      <c r="F37" s="129"/>
      <c r="G37" s="129"/>
      <c r="H37" s="129"/>
      <c r="I37" s="129"/>
      <c r="J37" s="130">
        <f>SUM(J27:J36)</f>
        <v>0</v>
      </c>
    </row>
    <row r="38" spans="2:10" s="51" customFormat="1" ht="15.75" customHeight="1" thickBot="1" x14ac:dyDescent="0.2">
      <c r="B38" s="131" t="s">
        <v>23</v>
      </c>
      <c r="C38" s="132"/>
      <c r="D38" s="133"/>
      <c r="E38" s="134"/>
      <c r="F38" s="133"/>
      <c r="G38" s="133"/>
      <c r="H38" s="135"/>
      <c r="I38" s="135"/>
      <c r="J38" s="136"/>
    </row>
    <row r="39" spans="2:10" x14ac:dyDescent="0.15">
      <c r="B39" s="117" t="s">
        <v>73</v>
      </c>
      <c r="C39" s="118"/>
      <c r="D39" s="110"/>
      <c r="E39" s="111"/>
      <c r="F39" s="112">
        <v>0</v>
      </c>
      <c r="G39" s="113">
        <f t="shared" ref="G39:G44" si="10">D39*E39*F39</f>
        <v>0</v>
      </c>
      <c r="H39" s="114">
        <v>0</v>
      </c>
      <c r="I39" s="115">
        <f t="shared" ref="I39:I44" si="11">D39*E39*H39</f>
        <v>0</v>
      </c>
      <c r="J39" s="116">
        <f t="shared" ref="J39:J44" si="12">(G39*$J$6)+(G39*$J$7)+I39</f>
        <v>0</v>
      </c>
    </row>
    <row r="40" spans="2:10" x14ac:dyDescent="0.15">
      <c r="B40" s="137" t="s">
        <v>24</v>
      </c>
      <c r="C40" s="118"/>
      <c r="D40" s="110"/>
      <c r="E40" s="111"/>
      <c r="F40" s="112">
        <v>0</v>
      </c>
      <c r="G40" s="113">
        <f t="shared" si="10"/>
        <v>0</v>
      </c>
      <c r="H40" s="114">
        <v>0</v>
      </c>
      <c r="I40" s="115">
        <f t="shared" si="11"/>
        <v>0</v>
      </c>
      <c r="J40" s="116">
        <f t="shared" si="12"/>
        <v>0</v>
      </c>
    </row>
    <row r="41" spans="2:10" ht="15.75" customHeight="1" x14ac:dyDescent="0.15">
      <c r="B41" s="137" t="s">
        <v>25</v>
      </c>
      <c r="C41" s="118"/>
      <c r="D41" s="110"/>
      <c r="E41" s="111"/>
      <c r="F41" s="112">
        <v>0</v>
      </c>
      <c r="G41" s="113">
        <f t="shared" si="10"/>
        <v>0</v>
      </c>
      <c r="H41" s="114">
        <v>0</v>
      </c>
      <c r="I41" s="115">
        <f t="shared" si="11"/>
        <v>0</v>
      </c>
      <c r="J41" s="116">
        <f t="shared" si="12"/>
        <v>0</v>
      </c>
    </row>
    <row r="42" spans="2:10" ht="19.5" customHeight="1" x14ac:dyDescent="0.15">
      <c r="B42" s="137" t="s">
        <v>91</v>
      </c>
      <c r="C42" s="138"/>
      <c r="D42" s="110"/>
      <c r="E42" s="111"/>
      <c r="F42" s="112">
        <v>0</v>
      </c>
      <c r="G42" s="113">
        <f t="shared" si="10"/>
        <v>0</v>
      </c>
      <c r="H42" s="114">
        <v>0</v>
      </c>
      <c r="I42" s="115">
        <f t="shared" si="11"/>
        <v>0</v>
      </c>
      <c r="J42" s="116">
        <f t="shared" si="12"/>
        <v>0</v>
      </c>
    </row>
    <row r="43" spans="2:10" ht="15.75" customHeight="1" x14ac:dyDescent="0.15">
      <c r="B43" s="137" t="s">
        <v>92</v>
      </c>
      <c r="C43" s="139"/>
      <c r="D43" s="110"/>
      <c r="E43" s="111"/>
      <c r="F43" s="121">
        <v>0</v>
      </c>
      <c r="G43" s="113">
        <f>D43*E43*F43</f>
        <v>0</v>
      </c>
      <c r="H43" s="114">
        <v>0</v>
      </c>
      <c r="I43" s="115">
        <f t="shared" si="11"/>
        <v>0</v>
      </c>
      <c r="J43" s="116">
        <f>(G43*$J$6)+(G43*$J$7)+I43</f>
        <v>0</v>
      </c>
    </row>
    <row r="44" spans="2:10" ht="15.75" customHeight="1" x14ac:dyDescent="0.15">
      <c r="B44" s="140" t="s">
        <v>81</v>
      </c>
      <c r="C44" s="118"/>
      <c r="D44" s="110"/>
      <c r="E44" s="111"/>
      <c r="F44" s="112">
        <v>0</v>
      </c>
      <c r="G44" s="113">
        <f t="shared" si="10"/>
        <v>0</v>
      </c>
      <c r="H44" s="114">
        <v>0</v>
      </c>
      <c r="I44" s="115">
        <f t="shared" si="11"/>
        <v>0</v>
      </c>
      <c r="J44" s="116">
        <f t="shared" si="12"/>
        <v>0</v>
      </c>
    </row>
    <row r="45" spans="2:10" ht="15.75" customHeight="1" thickBot="1" x14ac:dyDescent="0.2">
      <c r="B45" s="117"/>
      <c r="C45" s="118"/>
      <c r="D45" s="110"/>
      <c r="E45" s="111"/>
      <c r="F45" s="121"/>
      <c r="G45" s="113"/>
      <c r="H45" s="114"/>
      <c r="I45" s="115"/>
      <c r="J45" s="116"/>
    </row>
    <row r="46" spans="2:10" ht="15.75" customHeight="1" thickBot="1" x14ac:dyDescent="0.2">
      <c r="B46" s="128" t="s">
        <v>26</v>
      </c>
      <c r="C46" s="129"/>
      <c r="D46" s="129"/>
      <c r="E46" s="129"/>
      <c r="F46" s="129"/>
      <c r="G46" s="129"/>
      <c r="H46" s="129"/>
      <c r="I46" s="129"/>
      <c r="J46" s="130">
        <f>SUM(J39:J45)</f>
        <v>0</v>
      </c>
    </row>
    <row r="47" spans="2:10" s="51" customFormat="1" ht="15.75" customHeight="1" thickBot="1" x14ac:dyDescent="0.2">
      <c r="B47" s="131" t="s">
        <v>27</v>
      </c>
      <c r="C47" s="132"/>
      <c r="D47" s="133"/>
      <c r="E47" s="134"/>
      <c r="F47" s="133"/>
      <c r="G47" s="133"/>
      <c r="H47" s="135"/>
      <c r="I47" s="135"/>
      <c r="J47" s="136"/>
    </row>
    <row r="48" spans="2:10" ht="15.75" customHeight="1" x14ac:dyDescent="0.15">
      <c r="B48" s="117" t="s">
        <v>28</v>
      </c>
      <c r="C48" s="118"/>
      <c r="D48" s="110"/>
      <c r="E48" s="111"/>
      <c r="F48" s="121">
        <v>0</v>
      </c>
      <c r="G48" s="113">
        <f t="shared" ref="G48:G50" si="13">D48*E48*F48</f>
        <v>0</v>
      </c>
      <c r="H48" s="114">
        <v>0</v>
      </c>
      <c r="I48" s="115">
        <f t="shared" ref="I48:I50" si="14">D48*E48*H48</f>
        <v>0</v>
      </c>
      <c r="J48" s="116">
        <f>(G48*$J$6)+(G48*$J$7)+I48</f>
        <v>0</v>
      </c>
    </row>
    <row r="49" spans="2:10" ht="15.75" customHeight="1" x14ac:dyDescent="0.15">
      <c r="B49" s="117" t="s">
        <v>29</v>
      </c>
      <c r="C49" s="118"/>
      <c r="D49" s="110"/>
      <c r="E49" s="111"/>
      <c r="F49" s="121">
        <v>0</v>
      </c>
      <c r="G49" s="113">
        <f t="shared" si="13"/>
        <v>0</v>
      </c>
      <c r="H49" s="114">
        <v>0</v>
      </c>
      <c r="I49" s="115">
        <f t="shared" si="14"/>
        <v>0</v>
      </c>
      <c r="J49" s="116">
        <f>(G49*$J$6)+(G49*$J$7)+I49</f>
        <v>0</v>
      </c>
    </row>
    <row r="50" spans="2:10" ht="15.75" customHeight="1" thickBot="1" x14ac:dyDescent="0.2">
      <c r="B50" s="117" t="s">
        <v>30</v>
      </c>
      <c r="C50" s="118"/>
      <c r="D50" s="110"/>
      <c r="E50" s="111"/>
      <c r="F50" s="121">
        <v>0</v>
      </c>
      <c r="G50" s="113">
        <f t="shared" si="13"/>
        <v>0</v>
      </c>
      <c r="H50" s="114">
        <v>0</v>
      </c>
      <c r="I50" s="115">
        <f t="shared" si="14"/>
        <v>0</v>
      </c>
      <c r="J50" s="116">
        <f>(G50*$J$6)+(G50*$J$7)+I50</f>
        <v>0</v>
      </c>
    </row>
    <row r="51" spans="2:10" ht="15.75" customHeight="1" thickBot="1" x14ac:dyDescent="0.2">
      <c r="B51" s="128" t="s">
        <v>31</v>
      </c>
      <c r="C51" s="129"/>
      <c r="D51" s="129"/>
      <c r="E51" s="129"/>
      <c r="F51" s="129"/>
      <c r="G51" s="129"/>
      <c r="H51" s="129"/>
      <c r="I51" s="129"/>
      <c r="J51" s="130">
        <f>SUM(J48:J50)</f>
        <v>0</v>
      </c>
    </row>
    <row r="52" spans="2:10" s="51" customFormat="1" ht="15.75" customHeight="1" thickBot="1" x14ac:dyDescent="0.2">
      <c r="B52" s="131" t="s">
        <v>32</v>
      </c>
      <c r="C52" s="132"/>
      <c r="D52" s="133"/>
      <c r="E52" s="134"/>
      <c r="F52" s="133"/>
      <c r="G52" s="133"/>
      <c r="H52" s="135"/>
      <c r="I52" s="135"/>
      <c r="J52" s="136"/>
    </row>
    <row r="53" spans="2:10" ht="15.75" customHeight="1" thickBot="1" x14ac:dyDescent="0.2">
      <c r="B53" s="117" t="s">
        <v>74</v>
      </c>
      <c r="C53" s="118"/>
      <c r="D53" s="110"/>
      <c r="E53" s="111"/>
      <c r="F53" s="121">
        <v>0</v>
      </c>
      <c r="G53" s="113">
        <f t="shared" ref="G53" si="15">D53*E53*F53</f>
        <v>0</v>
      </c>
      <c r="H53" s="114">
        <v>0</v>
      </c>
      <c r="I53" s="115">
        <f t="shared" ref="I53" si="16">D53*E53*H53</f>
        <v>0</v>
      </c>
      <c r="J53" s="116">
        <f>(G53*$J$6)+(G53*$J$7)+I53</f>
        <v>0</v>
      </c>
    </row>
    <row r="54" spans="2:10" ht="15.75" customHeight="1" thickBot="1" x14ac:dyDescent="0.2">
      <c r="B54" s="128" t="s">
        <v>34</v>
      </c>
      <c r="C54" s="129"/>
      <c r="D54" s="129"/>
      <c r="E54" s="129"/>
      <c r="F54" s="129"/>
      <c r="G54" s="129"/>
      <c r="H54" s="129"/>
      <c r="I54" s="129"/>
      <c r="J54" s="130">
        <f>SUM(J53)</f>
        <v>0</v>
      </c>
    </row>
    <row r="55" spans="2:10" s="51" customFormat="1" ht="15.75" customHeight="1" thickBot="1" x14ac:dyDescent="0.2">
      <c r="B55" s="131" t="s">
        <v>35</v>
      </c>
      <c r="C55" s="132"/>
      <c r="D55" s="133"/>
      <c r="E55" s="134"/>
      <c r="F55" s="133"/>
      <c r="G55" s="133"/>
      <c r="H55" s="135"/>
      <c r="I55" s="135"/>
      <c r="J55" s="136"/>
    </row>
    <row r="56" spans="2:10" x14ac:dyDescent="0.15">
      <c r="B56" s="117" t="s">
        <v>82</v>
      </c>
      <c r="C56" s="118"/>
      <c r="D56" s="110"/>
      <c r="E56" s="111"/>
      <c r="F56" s="121">
        <v>0</v>
      </c>
      <c r="G56" s="113">
        <f t="shared" ref="G56" si="17">D56*E56*F56</f>
        <v>0</v>
      </c>
      <c r="H56" s="114">
        <v>0</v>
      </c>
      <c r="I56" s="115">
        <f t="shared" ref="I56" si="18">D56*E56*H56</f>
        <v>0</v>
      </c>
      <c r="J56" s="116">
        <f>(G56*$J$6)+(G56*$J$7)+I56</f>
        <v>0</v>
      </c>
    </row>
    <row r="57" spans="2:10" ht="15.75" customHeight="1" thickBot="1" x14ac:dyDescent="0.2">
      <c r="B57" s="117"/>
      <c r="C57" s="118"/>
      <c r="D57" s="110"/>
      <c r="E57" s="111"/>
      <c r="F57" s="121"/>
      <c r="G57" s="113"/>
      <c r="H57" s="114"/>
      <c r="I57" s="115"/>
      <c r="J57" s="116"/>
    </row>
    <row r="58" spans="2:10" ht="15.75" customHeight="1" thickBot="1" x14ac:dyDescent="0.2">
      <c r="B58" s="128" t="s">
        <v>36</v>
      </c>
      <c r="C58" s="129"/>
      <c r="D58" s="129"/>
      <c r="E58" s="129"/>
      <c r="F58" s="129"/>
      <c r="G58" s="129"/>
      <c r="H58" s="129"/>
      <c r="I58" s="129"/>
      <c r="J58" s="130">
        <f>SUM(J56:J57)</f>
        <v>0</v>
      </c>
    </row>
    <row r="59" spans="2:10" s="51" customFormat="1" ht="15.75" customHeight="1" thickBot="1" x14ac:dyDescent="0.2">
      <c r="B59" s="131" t="s">
        <v>37</v>
      </c>
      <c r="C59" s="132"/>
      <c r="D59" s="133"/>
      <c r="E59" s="134"/>
      <c r="F59" s="133"/>
      <c r="G59" s="133"/>
      <c r="H59" s="135"/>
      <c r="I59" s="135"/>
      <c r="J59" s="136"/>
    </row>
    <row r="60" spans="2:10" ht="15.75" customHeight="1" x14ac:dyDescent="0.15">
      <c r="B60" s="117" t="s">
        <v>38</v>
      </c>
      <c r="C60" s="118"/>
      <c r="D60" s="110"/>
      <c r="E60" s="111"/>
      <c r="F60" s="121">
        <v>0</v>
      </c>
      <c r="G60" s="113">
        <f t="shared" ref="G60:G61" si="19">D60*E60*F60</f>
        <v>0</v>
      </c>
      <c r="H60" s="114">
        <v>0</v>
      </c>
      <c r="I60" s="115">
        <f t="shared" ref="I60:I61" si="20">D60*E60*H60</f>
        <v>0</v>
      </c>
      <c r="J60" s="116">
        <f t="shared" ref="J60:J66" si="21">(G60*$J$6)+(G60*$J$7)+I60</f>
        <v>0</v>
      </c>
    </row>
    <row r="61" spans="2:10" s="10" customFormat="1" x14ac:dyDescent="0.15">
      <c r="B61" s="117" t="s">
        <v>85</v>
      </c>
      <c r="C61" s="118"/>
      <c r="D61" s="110"/>
      <c r="E61" s="111"/>
      <c r="F61" s="112">
        <v>0</v>
      </c>
      <c r="G61" s="113">
        <f t="shared" si="19"/>
        <v>0</v>
      </c>
      <c r="H61" s="114">
        <v>0</v>
      </c>
      <c r="I61" s="115">
        <f t="shared" si="20"/>
        <v>0</v>
      </c>
      <c r="J61" s="116">
        <f t="shared" si="21"/>
        <v>0</v>
      </c>
    </row>
    <row r="62" spans="2:10" ht="15.75" customHeight="1" x14ac:dyDescent="0.15">
      <c r="B62" s="117" t="s">
        <v>75</v>
      </c>
      <c r="C62" s="118"/>
      <c r="D62" s="110"/>
      <c r="E62" s="111"/>
      <c r="F62" s="121">
        <v>0</v>
      </c>
      <c r="G62" s="113">
        <f>D62*E62*F62</f>
        <v>0</v>
      </c>
      <c r="H62" s="114">
        <v>0</v>
      </c>
      <c r="I62" s="115">
        <f t="shared" ref="I62:I65" si="22">D62*E62*H62</f>
        <v>0</v>
      </c>
      <c r="J62" s="116">
        <f t="shared" si="21"/>
        <v>0</v>
      </c>
    </row>
    <row r="63" spans="2:10" s="10" customFormat="1" ht="15.75" customHeight="1" x14ac:dyDescent="0.15">
      <c r="B63" s="117" t="s">
        <v>84</v>
      </c>
      <c r="C63" s="118"/>
      <c r="D63" s="110"/>
      <c r="E63" s="111"/>
      <c r="F63" s="121">
        <v>0</v>
      </c>
      <c r="G63" s="113">
        <f>D63*E63*F63</f>
        <v>0</v>
      </c>
      <c r="H63" s="114">
        <v>0</v>
      </c>
      <c r="I63" s="115">
        <f t="shared" si="22"/>
        <v>0</v>
      </c>
      <c r="J63" s="116">
        <f t="shared" si="21"/>
        <v>0</v>
      </c>
    </row>
    <row r="64" spans="2:10" s="10" customFormat="1" ht="15.75" customHeight="1" x14ac:dyDescent="0.15">
      <c r="B64" s="117" t="s">
        <v>33</v>
      </c>
      <c r="C64" s="118"/>
      <c r="D64" s="110"/>
      <c r="E64" s="111"/>
      <c r="F64" s="121">
        <v>0</v>
      </c>
      <c r="G64" s="113">
        <f>D64*E64*F64</f>
        <v>0</v>
      </c>
      <c r="H64" s="114">
        <v>0</v>
      </c>
      <c r="I64" s="115">
        <f t="shared" si="22"/>
        <v>0</v>
      </c>
      <c r="J64" s="116">
        <f t="shared" si="21"/>
        <v>0</v>
      </c>
    </row>
    <row r="65" spans="2:10" ht="15.75" customHeight="1" x14ac:dyDescent="0.15">
      <c r="B65" s="117" t="s">
        <v>39</v>
      </c>
      <c r="C65" s="118"/>
      <c r="D65" s="110"/>
      <c r="E65" s="111"/>
      <c r="F65" s="112">
        <v>0</v>
      </c>
      <c r="G65" s="113">
        <f t="shared" ref="G65" si="23">D65*E65*F65</f>
        <v>0</v>
      </c>
      <c r="H65" s="114">
        <v>0</v>
      </c>
      <c r="I65" s="115">
        <f t="shared" si="22"/>
        <v>0</v>
      </c>
      <c r="J65" s="116">
        <f t="shared" si="21"/>
        <v>0</v>
      </c>
    </row>
    <row r="66" spans="2:10" ht="15.75" customHeight="1" x14ac:dyDescent="0.15">
      <c r="B66" s="117" t="s">
        <v>40</v>
      </c>
      <c r="C66" s="118"/>
      <c r="D66" s="110"/>
      <c r="E66" s="111"/>
      <c r="F66" s="112">
        <v>0</v>
      </c>
      <c r="G66" s="113">
        <f t="shared" ref="G66" si="24">D66*E66*F66</f>
        <v>0</v>
      </c>
      <c r="H66" s="114">
        <v>0</v>
      </c>
      <c r="I66" s="115">
        <f t="shared" ref="I66" si="25">D66*E66*H66</f>
        <v>0</v>
      </c>
      <c r="J66" s="116">
        <f t="shared" si="21"/>
        <v>0</v>
      </c>
    </row>
    <row r="67" spans="2:10" ht="15.75" customHeight="1" thickBot="1" x14ac:dyDescent="0.2">
      <c r="B67" s="117"/>
      <c r="C67" s="118"/>
      <c r="D67" s="110"/>
      <c r="E67" s="111"/>
      <c r="F67" s="121"/>
      <c r="G67" s="113"/>
      <c r="H67" s="114"/>
      <c r="I67" s="115"/>
      <c r="J67" s="116"/>
    </row>
    <row r="68" spans="2:10" ht="15.75" customHeight="1" thickBot="1" x14ac:dyDescent="0.2">
      <c r="B68" s="128" t="s">
        <v>41</v>
      </c>
      <c r="C68" s="129"/>
      <c r="D68" s="129"/>
      <c r="E68" s="129"/>
      <c r="F68" s="129"/>
      <c r="G68" s="129"/>
      <c r="H68" s="129"/>
      <c r="I68" s="129"/>
      <c r="J68" s="130">
        <f>SUM(J60:J67)</f>
        <v>0</v>
      </c>
    </row>
    <row r="69" spans="2:10" s="51" customFormat="1" ht="15.75" customHeight="1" thickBot="1" x14ac:dyDescent="0.2">
      <c r="B69" s="131" t="s">
        <v>42</v>
      </c>
      <c r="C69" s="132"/>
      <c r="D69" s="133"/>
      <c r="E69" s="134"/>
      <c r="F69" s="133"/>
      <c r="G69" s="133"/>
      <c r="H69" s="135"/>
      <c r="I69" s="135"/>
      <c r="J69" s="136"/>
    </row>
    <row r="70" spans="2:10" ht="15.75" customHeight="1" x14ac:dyDescent="0.15">
      <c r="B70" s="117" t="s">
        <v>43</v>
      </c>
      <c r="C70" s="118"/>
      <c r="D70" s="110"/>
      <c r="E70" s="111"/>
      <c r="F70" s="121">
        <v>0</v>
      </c>
      <c r="G70" s="113">
        <f t="shared" ref="G70:G78" si="26">D70*E70*F70</f>
        <v>0</v>
      </c>
      <c r="H70" s="114">
        <v>0</v>
      </c>
      <c r="I70" s="115">
        <f t="shared" ref="I70:I78" si="27">D70*E70*H70</f>
        <v>0</v>
      </c>
      <c r="J70" s="116">
        <f>(G70*$J$6)+(G70*$J$7)+I70</f>
        <v>0</v>
      </c>
    </row>
    <row r="71" spans="2:10" ht="15.75" customHeight="1" x14ac:dyDescent="0.15">
      <c r="B71" s="117" t="s">
        <v>44</v>
      </c>
      <c r="C71" s="118"/>
      <c r="D71" s="110"/>
      <c r="E71" s="111"/>
      <c r="F71" s="121">
        <v>0</v>
      </c>
      <c r="G71" s="113">
        <f t="shared" si="26"/>
        <v>0</v>
      </c>
      <c r="H71" s="114">
        <v>0</v>
      </c>
      <c r="I71" s="115">
        <f t="shared" si="27"/>
        <v>0</v>
      </c>
      <c r="J71" s="116">
        <f t="shared" ref="J71:J78" si="28">(G71*$J$6)+(G71*$J$7)+I71</f>
        <v>0</v>
      </c>
    </row>
    <row r="72" spans="2:10" ht="15.75" customHeight="1" x14ac:dyDescent="0.15">
      <c r="B72" s="117" t="s">
        <v>46</v>
      </c>
      <c r="C72" s="118"/>
      <c r="D72" s="110"/>
      <c r="E72" s="111"/>
      <c r="F72" s="121">
        <v>0</v>
      </c>
      <c r="G72" s="113">
        <f t="shared" si="26"/>
        <v>0</v>
      </c>
      <c r="H72" s="114">
        <v>0</v>
      </c>
      <c r="I72" s="115">
        <f t="shared" si="27"/>
        <v>0</v>
      </c>
      <c r="J72" s="116">
        <f t="shared" si="28"/>
        <v>0</v>
      </c>
    </row>
    <row r="73" spans="2:10" ht="15.75" customHeight="1" x14ac:dyDescent="0.15">
      <c r="B73" s="117" t="s">
        <v>76</v>
      </c>
      <c r="C73" s="118"/>
      <c r="D73" s="110"/>
      <c r="E73" s="111"/>
      <c r="F73" s="121">
        <v>0</v>
      </c>
      <c r="G73" s="113">
        <f>D73*E73*F73</f>
        <v>0</v>
      </c>
      <c r="H73" s="114">
        <v>0</v>
      </c>
      <c r="I73" s="115">
        <f>D73*E73*H73</f>
        <v>0</v>
      </c>
      <c r="J73" s="116">
        <f>(G73*$J$6)+(G73*$J$7)+I73</f>
        <v>0</v>
      </c>
    </row>
    <row r="74" spans="2:10" ht="15.75" customHeight="1" x14ac:dyDescent="0.15">
      <c r="B74" s="117" t="s">
        <v>77</v>
      </c>
      <c r="C74" s="118"/>
      <c r="D74" s="110"/>
      <c r="E74" s="111"/>
      <c r="F74" s="121">
        <v>0</v>
      </c>
      <c r="G74" s="113">
        <f t="shared" si="26"/>
        <v>0</v>
      </c>
      <c r="H74" s="114">
        <v>0</v>
      </c>
      <c r="I74" s="115">
        <f t="shared" si="27"/>
        <v>0</v>
      </c>
      <c r="J74" s="116">
        <f t="shared" si="28"/>
        <v>0</v>
      </c>
    </row>
    <row r="75" spans="2:10" ht="15.75" customHeight="1" x14ac:dyDescent="0.15">
      <c r="B75" s="117" t="s">
        <v>78</v>
      </c>
      <c r="C75" s="118"/>
      <c r="D75" s="110"/>
      <c r="E75" s="111"/>
      <c r="F75" s="121">
        <v>0</v>
      </c>
      <c r="G75" s="113">
        <f t="shared" si="26"/>
        <v>0</v>
      </c>
      <c r="H75" s="114">
        <v>0</v>
      </c>
      <c r="I75" s="115">
        <f t="shared" si="27"/>
        <v>0</v>
      </c>
      <c r="J75" s="116">
        <f t="shared" si="28"/>
        <v>0</v>
      </c>
    </row>
    <row r="76" spans="2:10" ht="15.75" customHeight="1" x14ac:dyDescent="0.15">
      <c r="B76" s="117" t="s">
        <v>47</v>
      </c>
      <c r="C76" s="118"/>
      <c r="D76" s="110"/>
      <c r="E76" s="111"/>
      <c r="F76" s="121">
        <v>0</v>
      </c>
      <c r="G76" s="113">
        <f t="shared" si="26"/>
        <v>0</v>
      </c>
      <c r="H76" s="114">
        <v>0</v>
      </c>
      <c r="I76" s="115">
        <f t="shared" si="27"/>
        <v>0</v>
      </c>
      <c r="J76" s="116">
        <f t="shared" si="28"/>
        <v>0</v>
      </c>
    </row>
    <row r="77" spans="2:10" ht="15.75" customHeight="1" x14ac:dyDescent="0.15">
      <c r="B77" s="117" t="s">
        <v>45</v>
      </c>
      <c r="C77" s="118"/>
      <c r="D77" s="110"/>
      <c r="E77" s="111"/>
      <c r="F77" s="121">
        <v>0</v>
      </c>
      <c r="G77" s="113">
        <f t="shared" si="26"/>
        <v>0</v>
      </c>
      <c r="H77" s="114">
        <v>0</v>
      </c>
      <c r="I77" s="115">
        <f t="shared" si="27"/>
        <v>0</v>
      </c>
      <c r="J77" s="116">
        <f t="shared" si="28"/>
        <v>0</v>
      </c>
    </row>
    <row r="78" spans="2:10" ht="15.75" customHeight="1" x14ac:dyDescent="0.15">
      <c r="B78" s="117" t="s">
        <v>48</v>
      </c>
      <c r="C78" s="118"/>
      <c r="D78" s="110"/>
      <c r="E78" s="111"/>
      <c r="F78" s="121">
        <v>0</v>
      </c>
      <c r="G78" s="113">
        <f t="shared" si="26"/>
        <v>0</v>
      </c>
      <c r="H78" s="114">
        <v>0</v>
      </c>
      <c r="I78" s="115">
        <f t="shared" si="27"/>
        <v>0</v>
      </c>
      <c r="J78" s="116">
        <f t="shared" si="28"/>
        <v>0</v>
      </c>
    </row>
    <row r="79" spans="2:10" s="10" customFormat="1" ht="15.75" customHeight="1" thickBot="1" x14ac:dyDescent="0.2">
      <c r="B79" s="117"/>
      <c r="C79" s="118"/>
      <c r="D79" s="119"/>
      <c r="E79" s="120"/>
      <c r="F79" s="121"/>
      <c r="G79" s="113"/>
      <c r="H79" s="114"/>
      <c r="I79" s="115"/>
      <c r="J79" s="116"/>
    </row>
    <row r="80" spans="2:10" ht="15.75" customHeight="1" thickBot="1" x14ac:dyDescent="0.2">
      <c r="B80" s="128" t="s">
        <v>49</v>
      </c>
      <c r="C80" s="129"/>
      <c r="D80" s="129"/>
      <c r="E80" s="129"/>
      <c r="F80" s="129"/>
      <c r="G80" s="129"/>
      <c r="H80" s="129"/>
      <c r="I80" s="129"/>
      <c r="J80" s="130">
        <f>SUM(J70:J79)</f>
        <v>0</v>
      </c>
    </row>
    <row r="81" spans="2:10" s="51" customFormat="1" ht="15.75" customHeight="1" thickBot="1" x14ac:dyDescent="0.2">
      <c r="B81" s="131" t="s">
        <v>79</v>
      </c>
      <c r="C81" s="132"/>
      <c r="D81" s="133"/>
      <c r="E81" s="134"/>
      <c r="F81" s="133"/>
      <c r="G81" s="133"/>
      <c r="H81" s="135"/>
      <c r="I81" s="135"/>
      <c r="J81" s="136"/>
    </row>
    <row r="82" spans="2:10" ht="15.75" customHeight="1" x14ac:dyDescent="0.15">
      <c r="B82" s="117" t="s">
        <v>50</v>
      </c>
      <c r="C82" s="118"/>
      <c r="D82" s="119"/>
      <c r="E82" s="111"/>
      <c r="F82" s="121">
        <v>0</v>
      </c>
      <c r="G82" s="113">
        <f t="shared" ref="G82:G92" si="29">D82*E82*F82</f>
        <v>0</v>
      </c>
      <c r="H82" s="114">
        <v>0</v>
      </c>
      <c r="I82" s="115">
        <f t="shared" ref="I82:I92" si="30">D82*E82*H82</f>
        <v>0</v>
      </c>
      <c r="J82" s="116">
        <f>(G82*$J$6)+(G82*$J$7)+I82</f>
        <v>0</v>
      </c>
    </row>
    <row r="83" spans="2:10" ht="15.75" customHeight="1" x14ac:dyDescent="0.15">
      <c r="B83" s="117" t="s">
        <v>51</v>
      </c>
      <c r="C83" s="118"/>
      <c r="D83" s="119"/>
      <c r="E83" s="111"/>
      <c r="F83" s="121">
        <v>0</v>
      </c>
      <c r="G83" s="113">
        <f t="shared" si="29"/>
        <v>0</v>
      </c>
      <c r="H83" s="114">
        <v>0</v>
      </c>
      <c r="I83" s="115">
        <f t="shared" si="30"/>
        <v>0</v>
      </c>
      <c r="J83" s="116">
        <f t="shared" ref="J83" si="31">(G83*$J$6)+(G83*$J$7)+I83</f>
        <v>0</v>
      </c>
    </row>
    <row r="84" spans="2:10" s="10" customFormat="1" ht="15.75" customHeight="1" x14ac:dyDescent="0.15">
      <c r="B84" s="117" t="s">
        <v>64</v>
      </c>
      <c r="C84" s="118"/>
      <c r="D84" s="110"/>
      <c r="E84" s="111"/>
      <c r="F84" s="112">
        <f>F12</f>
        <v>0</v>
      </c>
      <c r="G84" s="113">
        <f t="shared" si="29"/>
        <v>0</v>
      </c>
      <c r="H84" s="114">
        <v>0</v>
      </c>
      <c r="I84" s="115">
        <f t="shared" si="30"/>
        <v>0</v>
      </c>
      <c r="J84" s="116">
        <f>(G84*$J$6)+(G84*$J$7)+I84</f>
        <v>0</v>
      </c>
    </row>
    <row r="85" spans="2:10" s="10" customFormat="1" ht="15.75" customHeight="1" x14ac:dyDescent="0.15">
      <c r="B85" s="117" t="s">
        <v>65</v>
      </c>
      <c r="C85" s="118"/>
      <c r="D85" s="110"/>
      <c r="E85" s="111"/>
      <c r="F85" s="112">
        <f>F14</f>
        <v>0</v>
      </c>
      <c r="G85" s="113">
        <f t="shared" si="29"/>
        <v>0</v>
      </c>
      <c r="H85" s="114">
        <v>0</v>
      </c>
      <c r="I85" s="115">
        <f t="shared" si="30"/>
        <v>0</v>
      </c>
      <c r="J85" s="116">
        <f>(G85*$J$6)+(G85*$J$7)+I85</f>
        <v>0</v>
      </c>
    </row>
    <row r="86" spans="2:10" s="10" customFormat="1" ht="15.75" customHeight="1" x14ac:dyDescent="0.15">
      <c r="B86" s="117" t="s">
        <v>65</v>
      </c>
      <c r="C86" s="118"/>
      <c r="D86" s="110"/>
      <c r="E86" s="111"/>
      <c r="F86" s="112">
        <f>F14</f>
        <v>0</v>
      </c>
      <c r="G86" s="113">
        <f t="shared" si="29"/>
        <v>0</v>
      </c>
      <c r="H86" s="114">
        <v>0</v>
      </c>
      <c r="I86" s="115">
        <f t="shared" si="30"/>
        <v>0</v>
      </c>
      <c r="J86" s="116">
        <f>(G86*$J$6)+(G86*$J$7)+I86</f>
        <v>0</v>
      </c>
    </row>
    <row r="87" spans="2:10" ht="15.75" customHeight="1" x14ac:dyDescent="0.15">
      <c r="B87" s="117" t="s">
        <v>52</v>
      </c>
      <c r="C87" s="118"/>
      <c r="D87" s="119"/>
      <c r="E87" s="111"/>
      <c r="F87" s="112">
        <v>0</v>
      </c>
      <c r="G87" s="113">
        <f t="shared" ref="G87" si="32">D87*E87*F87</f>
        <v>0</v>
      </c>
      <c r="H87" s="114">
        <v>0</v>
      </c>
      <c r="I87" s="115">
        <f t="shared" ref="I87" si="33">D87*E87*H87</f>
        <v>0</v>
      </c>
      <c r="J87" s="116">
        <f>(G87*$J$6)+(G87*$J$7)+I87</f>
        <v>0</v>
      </c>
    </row>
    <row r="88" spans="2:10" s="10" customFormat="1" ht="15.75" customHeight="1" x14ac:dyDescent="0.15">
      <c r="B88" s="117" t="s">
        <v>65</v>
      </c>
      <c r="C88" s="118"/>
      <c r="D88" s="110"/>
      <c r="E88" s="111"/>
      <c r="F88" s="112">
        <f>F14</f>
        <v>0</v>
      </c>
      <c r="G88" s="113">
        <f>D88*E88*F88</f>
        <v>0</v>
      </c>
      <c r="H88" s="114">
        <v>0</v>
      </c>
      <c r="I88" s="115">
        <f>D88*E88*H88</f>
        <v>0</v>
      </c>
      <c r="J88" s="116">
        <f>(G88*$J$6)+(G88*$J$7)+I88</f>
        <v>0</v>
      </c>
    </row>
    <row r="89" spans="2:10" ht="28" x14ac:dyDescent="0.15">
      <c r="B89" s="141" t="s">
        <v>80</v>
      </c>
      <c r="C89" s="118"/>
      <c r="D89" s="119"/>
      <c r="E89" s="111"/>
      <c r="F89" s="121">
        <v>0</v>
      </c>
      <c r="G89" s="113">
        <f t="shared" si="29"/>
        <v>0</v>
      </c>
      <c r="H89" s="114">
        <v>0</v>
      </c>
      <c r="I89" s="115">
        <f t="shared" si="30"/>
        <v>0</v>
      </c>
      <c r="J89" s="116">
        <f t="shared" ref="J89:J92" si="34">(G89*$J$6)+(G89*$J$7)+I89</f>
        <v>0</v>
      </c>
    </row>
    <row r="90" spans="2:10" x14ac:dyDescent="0.15">
      <c r="B90" s="117" t="s">
        <v>53</v>
      </c>
      <c r="C90" s="118"/>
      <c r="D90" s="119"/>
      <c r="E90" s="111"/>
      <c r="F90" s="112">
        <v>0</v>
      </c>
      <c r="G90" s="113">
        <f t="shared" si="29"/>
        <v>0</v>
      </c>
      <c r="H90" s="114">
        <v>0</v>
      </c>
      <c r="I90" s="115">
        <f t="shared" si="30"/>
        <v>0</v>
      </c>
      <c r="J90" s="116">
        <f>(G90*$J$6)+(G90*$J$7)+I90</f>
        <v>0</v>
      </c>
    </row>
    <row r="91" spans="2:10" x14ac:dyDescent="0.15">
      <c r="B91" s="117" t="s">
        <v>87</v>
      </c>
      <c r="C91" s="118"/>
      <c r="D91" s="119"/>
      <c r="E91" s="111"/>
      <c r="F91" s="112">
        <f>(F12*3)+(F14*3)</f>
        <v>0</v>
      </c>
      <c r="G91" s="113">
        <f t="shared" ref="G91" si="35">D91*E91*F91</f>
        <v>0</v>
      </c>
      <c r="H91" s="114">
        <v>0</v>
      </c>
      <c r="I91" s="115">
        <f t="shared" ref="I91" si="36">D91*E91*H91</f>
        <v>0</v>
      </c>
      <c r="J91" s="116">
        <f>(G91*$J$6)+(G91*$J$7)+I91</f>
        <v>0</v>
      </c>
    </row>
    <row r="92" spans="2:10" ht="15.75" customHeight="1" x14ac:dyDescent="0.15">
      <c r="B92" s="117" t="s">
        <v>54</v>
      </c>
      <c r="C92" s="118"/>
      <c r="D92" s="119"/>
      <c r="E92" s="120"/>
      <c r="F92" s="121">
        <v>0</v>
      </c>
      <c r="G92" s="113">
        <f t="shared" si="29"/>
        <v>0</v>
      </c>
      <c r="H92" s="114">
        <v>0</v>
      </c>
      <c r="I92" s="115">
        <f t="shared" si="30"/>
        <v>0</v>
      </c>
      <c r="J92" s="116">
        <f t="shared" si="34"/>
        <v>0</v>
      </c>
    </row>
    <row r="93" spans="2:10" ht="15.75" customHeight="1" x14ac:dyDescent="0.15">
      <c r="B93" s="60"/>
      <c r="C93" s="61"/>
      <c r="D93" s="1"/>
      <c r="E93" s="57"/>
      <c r="F93" s="67"/>
      <c r="G93" s="68"/>
      <c r="H93" s="65"/>
      <c r="I93" s="66"/>
      <c r="J93" s="59"/>
    </row>
    <row r="94" spans="2:10" s="10" customFormat="1" ht="15.75" customHeight="1" thickBot="1" x14ac:dyDescent="0.2">
      <c r="B94" s="60"/>
      <c r="C94" s="61"/>
      <c r="D94" s="2"/>
      <c r="E94" s="62"/>
      <c r="F94" s="63"/>
      <c r="G94" s="58"/>
      <c r="H94" s="65"/>
      <c r="I94" s="66"/>
      <c r="J94" s="59"/>
    </row>
    <row r="95" spans="2:10" ht="15.75" customHeight="1" x14ac:dyDescent="0.15">
      <c r="B95" s="88" t="s">
        <v>55</v>
      </c>
      <c r="C95" s="89"/>
      <c r="D95" s="89"/>
      <c r="E95" s="89"/>
      <c r="F95" s="89"/>
      <c r="G95" s="89"/>
      <c r="H95" s="89"/>
      <c r="I95" s="89"/>
      <c r="J95" s="64">
        <f>SUM(J82:J94)</f>
        <v>0</v>
      </c>
    </row>
    <row r="96" spans="2:10" ht="15.75" customHeight="1" thickBot="1" x14ac:dyDescent="0.2">
      <c r="B96" s="70"/>
      <c r="C96" s="71"/>
      <c r="D96" s="71"/>
      <c r="E96" s="71"/>
      <c r="F96" s="71"/>
      <c r="G96" s="71"/>
      <c r="H96" s="71"/>
      <c r="I96" s="71"/>
      <c r="J96" s="72"/>
    </row>
    <row r="97" spans="2:10" s="69" customFormat="1" ht="22" customHeight="1" x14ac:dyDescent="0.15">
      <c r="B97" s="102" t="s">
        <v>56</v>
      </c>
      <c r="C97" s="103"/>
      <c r="D97" s="103"/>
      <c r="E97" s="103"/>
      <c r="F97" s="103"/>
      <c r="G97" s="103"/>
      <c r="H97" s="103"/>
      <c r="I97" s="104"/>
      <c r="J97" s="75">
        <f>SUM(J12:J95)/2</f>
        <v>0</v>
      </c>
    </row>
    <row r="98" spans="2:10" s="69" customFormat="1" ht="20" customHeight="1" x14ac:dyDescent="0.15">
      <c r="B98" s="78" t="s">
        <v>93</v>
      </c>
      <c r="C98" s="74">
        <v>0.1</v>
      </c>
      <c r="D98" s="73"/>
      <c r="E98" s="73"/>
      <c r="F98" s="73"/>
      <c r="G98" s="74"/>
      <c r="H98" s="81" t="s">
        <v>57</v>
      </c>
      <c r="I98" s="82"/>
      <c r="J98" s="76" t="str">
        <f>IF(AND($J$97&gt;=4700001)=TRUE,$J$97*0.05,"-")</f>
        <v>-</v>
      </c>
    </row>
    <row r="99" spans="2:10" s="69" customFormat="1" ht="22" customHeight="1" thickBot="1" x14ac:dyDescent="0.2">
      <c r="B99" s="99" t="s">
        <v>58</v>
      </c>
      <c r="C99" s="100"/>
      <c r="D99" s="100"/>
      <c r="E99" s="100"/>
      <c r="F99" s="100"/>
      <c r="G99" s="100"/>
      <c r="H99" s="100"/>
      <c r="I99" s="101"/>
      <c r="J99" s="77">
        <f>SUM(J97:J98)</f>
        <v>0</v>
      </c>
    </row>
    <row r="100" spans="2:10" ht="16" x14ac:dyDescent="0.15">
      <c r="B100" s="105" t="s">
        <v>94</v>
      </c>
      <c r="C100" s="106"/>
      <c r="D100" s="106"/>
      <c r="E100" s="106"/>
      <c r="F100" s="106"/>
      <c r="G100" s="106"/>
      <c r="H100" s="106"/>
      <c r="I100" s="107"/>
      <c r="J100" s="75">
        <f t="shared" ref="J100:J102" si="37">SUM(J98:J99)</f>
        <v>0</v>
      </c>
    </row>
    <row r="101" spans="2:10" ht="16" x14ac:dyDescent="0.15">
      <c r="B101" s="80" t="s">
        <v>95</v>
      </c>
      <c r="C101" s="81"/>
      <c r="D101" s="81"/>
      <c r="E101" s="81"/>
      <c r="F101" s="81"/>
      <c r="G101" s="81"/>
      <c r="H101" s="81"/>
      <c r="I101" s="82"/>
      <c r="J101" s="76">
        <f t="shared" si="37"/>
        <v>0</v>
      </c>
    </row>
    <row r="102" spans="2:10" ht="17" thickBot="1" x14ac:dyDescent="0.2">
      <c r="B102" s="83" t="s">
        <v>96</v>
      </c>
      <c r="C102" s="84"/>
      <c r="D102" s="84"/>
      <c r="E102" s="84"/>
      <c r="F102" s="84"/>
      <c r="G102" s="84"/>
      <c r="H102" s="84"/>
      <c r="I102" s="85"/>
      <c r="J102" s="79">
        <f t="shared" si="37"/>
        <v>0</v>
      </c>
    </row>
  </sheetData>
  <dataConsolidate/>
  <mergeCells count="34">
    <mergeCell ref="B100:I100"/>
    <mergeCell ref="B99:I99"/>
    <mergeCell ref="B68:I68"/>
    <mergeCell ref="B69:C69"/>
    <mergeCell ref="B80:I80"/>
    <mergeCell ref="B81:C81"/>
    <mergeCell ref="B95:I95"/>
    <mergeCell ref="B97:I97"/>
    <mergeCell ref="H98:I98"/>
    <mergeCell ref="B52:C52"/>
    <mergeCell ref="B54:I54"/>
    <mergeCell ref="B55:C55"/>
    <mergeCell ref="B58:I58"/>
    <mergeCell ref="B26:C26"/>
    <mergeCell ref="B37:I37"/>
    <mergeCell ref="B38:C38"/>
    <mergeCell ref="B46:I46"/>
    <mergeCell ref="B47:C47"/>
    <mergeCell ref="B101:I101"/>
    <mergeCell ref="B102:I102"/>
    <mergeCell ref="B59:C59"/>
    <mergeCell ref="B25:I25"/>
    <mergeCell ref="B2:J2"/>
    <mergeCell ref="D4:E4"/>
    <mergeCell ref="D5:E5"/>
    <mergeCell ref="D6:E6"/>
    <mergeCell ref="D7:E7"/>
    <mergeCell ref="D8:E8"/>
    <mergeCell ref="D9:E9"/>
    <mergeCell ref="B11:C11"/>
    <mergeCell ref="D15:E15"/>
    <mergeCell ref="B16:I16"/>
    <mergeCell ref="B17:C17"/>
    <mergeCell ref="B51:I51"/>
  </mergeCells>
  <conditionalFormatting sqref="J98">
    <cfRule type="containsText" dxfId="0" priority="1" operator="containsText" text="Aralık Dışında">
      <formula>NOT(ISERROR(SEARCH("Aralık Dışında",J98)))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scale="52" orientation="portrait" horizontalDpi="1200" verticalDpi="12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B3E43882C2384C9A95573CFE9CC0F5" ma:contentTypeVersion="13" ma:contentTypeDescription="Create a new document." ma:contentTypeScope="" ma:versionID="bb191e0509996a3ae3700f58b8b7ce94">
  <xsd:schema xmlns:xsd="http://www.w3.org/2001/XMLSchema" xmlns:xs="http://www.w3.org/2001/XMLSchema" xmlns:p="http://schemas.microsoft.com/office/2006/metadata/properties" xmlns:ns3="9cf8db19-99ac-46c9-8343-c7227db22f02" xmlns:ns4="ddbefb1c-0090-4ec5-864f-609af6932a8b" targetNamespace="http://schemas.microsoft.com/office/2006/metadata/properties" ma:root="true" ma:fieldsID="289c4b74a03ebe4473b854ccc27079c7" ns3:_="" ns4:_="">
    <xsd:import namespace="9cf8db19-99ac-46c9-8343-c7227db22f02"/>
    <xsd:import namespace="ddbefb1c-0090-4ec5-864f-609af6932a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f8db19-99ac-46c9-8343-c7227db22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efb1c-0090-4ec5-864f-609af6932a8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a717bf4d-1abd-475f-9e50-184403354ca3" value=""/>
</sisl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8012BF-E6D6-44A3-8AF5-02067F29BF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f8db19-99ac-46c9-8343-c7227db22f02"/>
    <ds:schemaRef ds:uri="ddbefb1c-0090-4ec5-864f-609af6932a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8ADC17-C723-4E64-88E9-1AF7D3409E5A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FDAE9703-6420-47CF-B7EF-93CF4AB103E3}">
  <ds:schemaRefs>
    <ds:schemaRef ds:uri="http://schemas.microsoft.com/office/2006/documentManagement/types"/>
    <ds:schemaRef ds:uri="ddbefb1c-0090-4ec5-864f-609af6932a8b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9cf8db19-99ac-46c9-8343-c7227db22f02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EADBEF9-324D-420A-A7AB-F7670ADD85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Concorde KKTC</vt:lpstr>
      <vt:lpstr>'Concorde KKTC'!Yazdırma_Alanı</vt:lpstr>
    </vt:vector>
  </TitlesOfParts>
  <Manager/>
  <Company>Merck &amp; Co.,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Merck</dc:creator>
  <cp:keywords/>
  <dc:description/>
  <cp:lastModifiedBy>Ergun Piji / S.T.O.K. MICE</cp:lastModifiedBy>
  <cp:revision/>
  <dcterms:created xsi:type="dcterms:W3CDTF">2010-12-10T12:02:41Z</dcterms:created>
  <dcterms:modified xsi:type="dcterms:W3CDTF">2026-04-09T09:54:55Z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ocIndexRef">
    <vt:lpwstr>8ea3c3d5-5c5f-41ee-bf83-a8104de584f3</vt:lpwstr>
  </property>
  <property fmtid="{D5CDD505-2E9C-101B-9397-08002B2CF9AE}" pid="4" name="bjSaver">
    <vt:lpwstr>q82Ehua55k8fl0b6u/Msh6lAlQa1tCB+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6" name="bjDocumentLabelXML-0">
    <vt:lpwstr>ames.com/2008/01/sie/internal/label"&gt;&lt;element uid="a717bf4d-1abd-475f-9e50-184403354ca3" value="" /&gt;&lt;/sisl&gt;</vt:lpwstr>
  </property>
  <property fmtid="{D5CDD505-2E9C-101B-9397-08002B2CF9AE}" pid="7" name="bjDocumentSecurityLabel">
    <vt:lpwstr>Sınıflandırılmamış-Not Classified</vt:lpwstr>
  </property>
  <property fmtid="{D5CDD505-2E9C-101B-9397-08002B2CF9AE}" pid="8" name="ContentTypeId">
    <vt:lpwstr>0x01010017B3E43882C2384C9A95573CFE9CC0F5</vt:lpwstr>
  </property>
  <property fmtid="{D5CDD505-2E9C-101B-9397-08002B2CF9AE}" pid="9" name="MSIP_Label_063bb37e-a165-4092-ba76-34dd72bd2d4e_Enabled">
    <vt:lpwstr>true</vt:lpwstr>
  </property>
  <property fmtid="{D5CDD505-2E9C-101B-9397-08002B2CF9AE}" pid="10" name="MSIP_Label_063bb37e-a165-4092-ba76-34dd72bd2d4e_SetDate">
    <vt:lpwstr>2021-11-10T12:17:51Z</vt:lpwstr>
  </property>
  <property fmtid="{D5CDD505-2E9C-101B-9397-08002B2CF9AE}" pid="11" name="MSIP_Label_063bb37e-a165-4092-ba76-34dd72bd2d4e_Method">
    <vt:lpwstr>Privileged</vt:lpwstr>
  </property>
  <property fmtid="{D5CDD505-2E9C-101B-9397-08002B2CF9AE}" pid="12" name="MSIP_Label_063bb37e-a165-4092-ba76-34dd72bd2d4e_Name">
    <vt:lpwstr>Turkish - Not Classified</vt:lpwstr>
  </property>
  <property fmtid="{D5CDD505-2E9C-101B-9397-08002B2CF9AE}" pid="13" name="MSIP_Label_063bb37e-a165-4092-ba76-34dd72bd2d4e_SiteId">
    <vt:lpwstr>a00de4ec-48a8-43a6-be74-e31274e2060d</vt:lpwstr>
  </property>
  <property fmtid="{D5CDD505-2E9C-101B-9397-08002B2CF9AE}" pid="14" name="MSIP_Label_063bb37e-a165-4092-ba76-34dd72bd2d4e_ActionId">
    <vt:lpwstr>6eb0cd82-8684-43c2-a1bd-e8ef2b24fc13</vt:lpwstr>
  </property>
  <property fmtid="{D5CDD505-2E9C-101B-9397-08002B2CF9AE}" pid="15" name="MSIP_Label_063bb37e-a165-4092-ba76-34dd72bd2d4e_ContentBits">
    <vt:lpwstr>0</vt:lpwstr>
  </property>
  <property fmtid="{D5CDD505-2E9C-101B-9397-08002B2CF9AE}" pid="16" name="MerckAIPLabel">
    <vt:lpwstr>NotClassified</vt:lpwstr>
  </property>
  <property fmtid="{D5CDD505-2E9C-101B-9397-08002B2CF9AE}" pid="17" name="MerckAIPDataExchange">
    <vt:lpwstr>!MRKMIP@NotClassified</vt:lpwstr>
  </property>
</Properties>
</file>