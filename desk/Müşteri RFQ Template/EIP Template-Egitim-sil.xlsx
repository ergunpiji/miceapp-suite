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8"/>
  <workbookPr/>
  <mc:AlternateContent xmlns:mc="http://schemas.openxmlformats.org/markup-compatibility/2006">
    <mc:Choice Requires="x15">
      <x15ac:absPath xmlns:x15ac="http://schemas.microsoft.com/office/spreadsheetml/2010/11/ac" url="/Users/ergun/Desktop/CLAUDE/E-Dem/Müşteri RFQ Template/"/>
    </mc:Choice>
  </mc:AlternateContent>
  <xr:revisionPtr revIDLastSave="0" documentId="8_{280F55D6-E103-674A-91BB-ED5AB7ABF3AC}" xr6:coauthVersionLast="47" xr6:coauthVersionMax="47" xr10:uidLastSave="{00000000-0000-0000-0000-000000000000}"/>
  <bookViews>
    <workbookView xWindow="0" yWindow="0" windowWidth="19080" windowHeight="21600" tabRatio="922" xr2:uid="{00000000-000D-0000-FFFF-FFFF00000000}"/>
  </bookViews>
  <sheets>
    <sheet name="DoubleTree" sheetId="20" r:id="rId1"/>
    <sheet name="Konaklama Listesi" sheetId="24" r:id="rId2"/>
    <sheet name="Grup 1 - EDA AYGÜN" sheetId="33" r:id="rId3"/>
    <sheet name="Grup 2 - RASİM SAMANLI" sheetId="34" r:id="rId4"/>
  </sheets>
  <externalReferences>
    <externalReference r:id="rId5"/>
  </externalReferences>
  <definedNames>
    <definedName name="__DAT5" localSheetId="0">#REF!</definedName>
    <definedName name="__DAT5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xlnm._FilterDatabase" localSheetId="0" hidden="1">DoubleTree!$A$33:$G$35</definedName>
    <definedName name="a" localSheetId="0">#REF!</definedName>
    <definedName name="a">#REF!</definedName>
    <definedName name="asd" localSheetId="0">#REF!</definedName>
    <definedName name="asd">#REF!</definedName>
    <definedName name="bar" localSheetId="0">#REF!</definedName>
    <definedName name="bar">#REF!</definedName>
    <definedName name="CX" localSheetId="0">#REF!</definedName>
    <definedName name="CX">#REF!</definedName>
    <definedName name="fd" localSheetId="0">#REF!</definedName>
    <definedName name="fd">#REF!</definedName>
    <definedName name="FIVE" localSheetId="0">#REF!</definedName>
    <definedName name="FIVE">#REF!</definedName>
    <definedName name="FOUR" localSheetId="0">#REF!</definedName>
    <definedName name="FOUR">#REF!</definedName>
    <definedName name="gfh" localSheetId="0">#REF!</definedName>
    <definedName name="gfh">#REF!</definedName>
    <definedName name="m" localSheetId="0">#REF!</definedName>
    <definedName name="m">#REF!</definedName>
    <definedName name="ONE" localSheetId="0">#REF!</definedName>
    <definedName name="ONE">#REF!</definedName>
    <definedName name="s" localSheetId="0">#REF!</definedName>
    <definedName name="s">#REF!</definedName>
    <definedName name="Specification">'[1]Drop Down Lists'!$H$2:$H$4</definedName>
    <definedName name="sssssss" localSheetId="0">#REF!</definedName>
    <definedName name="sssssss">#REF!</definedName>
    <definedName name="TEST0" localSheetId="0">#REF!</definedName>
    <definedName name="TEST0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HREE" localSheetId="0">#REF!</definedName>
    <definedName name="THREE">#REF!</definedName>
    <definedName name="TWO" localSheetId="0">#REF!</definedName>
    <definedName name="TWO">#REF!</definedName>
    <definedName name="_xlnm.Print_Area" localSheetId="0">DoubleTree!$A$2:$G$35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20" l="1"/>
  <c r="J34" i="20"/>
  <c r="I34" i="20"/>
  <c r="F28" i="20"/>
  <c r="F21" i="20"/>
  <c r="E18" i="20"/>
  <c r="F18" i="20" s="1"/>
  <c r="F25" i="20"/>
  <c r="E19" i="20"/>
  <c r="F19" i="20" s="1"/>
  <c r="E19" i="24"/>
  <c r="E18" i="24"/>
  <c r="D19" i="24"/>
  <c r="D18" i="24"/>
  <c r="E17" i="20" l="1"/>
  <c r="F17" i="20" s="1"/>
  <c r="E16" i="20"/>
  <c r="F16" i="20" s="1"/>
  <c r="E24" i="20"/>
  <c r="F24" i="20" s="1"/>
  <c r="E23" i="20"/>
  <c r="F23" i="20" s="1"/>
  <c r="F31" i="20"/>
  <c r="F26" i="20"/>
  <c r="F20" i="20" l="1"/>
  <c r="F30" i="20"/>
  <c r="F27" i="20"/>
  <c r="F32" i="20" l="1"/>
  <c r="F33" i="20" l="1"/>
  <c r="F34" i="20" l="1"/>
  <c r="I35" i="20" s="1"/>
  <c r="F35" i="20" l="1"/>
</calcChain>
</file>

<file path=xl/sharedStrings.xml><?xml version="1.0" encoding="utf-8"?>
<sst xmlns="http://schemas.openxmlformats.org/spreadsheetml/2006/main" count="264" uniqueCount="107">
  <si>
    <t>***KDV Hariçtir</t>
  </si>
  <si>
    <t>Toplam</t>
  </si>
  <si>
    <t>KDV Hariç Toplam Tutar</t>
  </si>
  <si>
    <t>NOT</t>
  </si>
  <si>
    <t>Toplam (TL)</t>
  </si>
  <si>
    <t>KUR</t>
  </si>
  <si>
    <t xml:space="preserve">Birim Fiyat </t>
  </si>
  <si>
    <t>Gün</t>
  </si>
  <si>
    <t>İstek/Adet/Kişi</t>
  </si>
  <si>
    <t>KONAKLAMA</t>
  </si>
  <si>
    <t>KONAKLAMA TOPLAMI</t>
  </si>
  <si>
    <t>TOPLANTI</t>
  </si>
  <si>
    <t>TOPLANTI TOPLAMI</t>
  </si>
  <si>
    <t>TEKNİK EKİPMAN</t>
  </si>
  <si>
    <t>TEKNİK EKİPMAN TOPLAMI</t>
  </si>
  <si>
    <t>Konaklama Vergisi</t>
  </si>
  <si>
    <t>Servis Bedeli %8</t>
  </si>
  <si>
    <t>SNG // Oda Kahvaltı</t>
  </si>
  <si>
    <t>Barkovizyon - Perde</t>
  </si>
  <si>
    <t>Ses Sistemi</t>
  </si>
  <si>
    <t>Dahildir</t>
  </si>
  <si>
    <t>Otopark</t>
  </si>
  <si>
    <t>Euro Kuru Organizasyon Günü TCMB Güncel Kuru İle Revize Edilecektir</t>
  </si>
  <si>
    <t>1 Euro=</t>
  </si>
  <si>
    <t>Ekstralar</t>
  </si>
  <si>
    <t xml:space="preserve">Tarih: </t>
  </si>
  <si>
    <t>Tam Gün Toplantı Paketi
2 adet coffee break ve 1 adet meşrubatlı öğle yemeği</t>
  </si>
  <si>
    <t>İsim Listesi</t>
  </si>
  <si>
    <t>Çıkışlar</t>
  </si>
  <si>
    <t>İSİM</t>
  </si>
  <si>
    <t>İKAMET</t>
  </si>
  <si>
    <t>GRUP</t>
  </si>
  <si>
    <t>EĞİTİM YERİ</t>
  </si>
  <si>
    <t>TARİH</t>
  </si>
  <si>
    <t>KONAKLAMA*</t>
  </si>
  <si>
    <t>ULAŞIM</t>
  </si>
  <si>
    <t>ANTALYA</t>
  </si>
  <si>
    <t>İSTANBUL</t>
  </si>
  <si>
    <t>YOK</t>
  </si>
  <si>
    <t>ANKARA</t>
  </si>
  <si>
    <t>İZMİR</t>
  </si>
  <si>
    <t xml:space="preserve"> Eğitim Toplantısı</t>
  </si>
  <si>
    <t>Yetkili Kişi : Rasim Samanlı</t>
  </si>
  <si>
    <t>Organizasyon Adı: Eğitim Toplantısı</t>
  </si>
  <si>
    <t>Organizasyon Tarihi: 09-10 Mart</t>
  </si>
  <si>
    <t>Katılımcı Sayısı: 24</t>
  </si>
  <si>
    <t xml:space="preserve">Lokasyon: </t>
  </si>
  <si>
    <t>DBL // Oda Kahvaltı</t>
  </si>
  <si>
    <t>09-10 Mart</t>
  </si>
  <si>
    <t>YUSUF MEMİŞ</t>
  </si>
  <si>
    <t>SAMSUN</t>
  </si>
  <si>
    <t xml:space="preserve">TEMEL TEDAVİLER </t>
  </si>
  <si>
    <t>9-10 Mart 2026</t>
  </si>
  <si>
    <t>YAREN EYLÜL DERE</t>
  </si>
  <si>
    <t xml:space="preserve">MERKEZİ SİNİR SİSTEMİ </t>
  </si>
  <si>
    <t>İLYAS KAYAER</t>
  </si>
  <si>
    <t>BERİL ÇELİK</t>
  </si>
  <si>
    <t>ANIL ÖZTÜRK</t>
  </si>
  <si>
    <t>ONKOLOJİ</t>
  </si>
  <si>
    <t>YAĞMUR ULUSAN</t>
  </si>
  <si>
    <t xml:space="preserve">DİYABET </t>
  </si>
  <si>
    <t>ALEV ANTAKYALIOĞLU</t>
  </si>
  <si>
    <t>BEKİR OKAN</t>
  </si>
  <si>
    <t>TEMEL TEDAVİLER</t>
  </si>
  <si>
    <t>AHMET CEM ÇELİK</t>
  </si>
  <si>
    <t>TAYFUN ÇAKIR</t>
  </si>
  <si>
    <t>ESKİŞEHİR</t>
  </si>
  <si>
    <t>ÜRODERMA</t>
  </si>
  <si>
    <t>1. Gün</t>
  </si>
  <si>
    <t>2. Gün</t>
  </si>
  <si>
    <t>EĞİTMEN</t>
  </si>
  <si>
    <t>Eda Aygün</t>
  </si>
  <si>
    <t>GRUP 2   9 - 10 Mart 2026</t>
  </si>
  <si>
    <t>BÜŞRA ELİF DURUKAN</t>
  </si>
  <si>
    <t>GENONKO</t>
  </si>
  <si>
    <t>ALPER GÜLER</t>
  </si>
  <si>
    <t>ÖZGE NUR ÖZGÜN</t>
  </si>
  <si>
    <t>MURAT NADİR GÖRGENLİ</t>
  </si>
  <si>
    <t>EFEHAN ERKUŞ</t>
  </si>
  <si>
    <t>HEMATOLOJİ</t>
  </si>
  <si>
    <t>MEHMET ESKİKÖY</t>
  </si>
  <si>
    <t>MUSTAFA UMUT GÜÇLÜ</t>
  </si>
  <si>
    <t>ECE KAHRAMAN</t>
  </si>
  <si>
    <t>GAMZE ÖRNEK</t>
  </si>
  <si>
    <t>KÜRŞATHAN AKIN</t>
  </si>
  <si>
    <t>AYÇA AY KASAR</t>
  </si>
  <si>
    <t>GRUP 1    9 - 10 Mart 2026</t>
  </si>
  <si>
    <t>Grup 2 Efehan Erkuş ile birlikte double konaklama.</t>
  </si>
  <si>
    <t>*2 Gece: 8 Mart Giriş - 10 Mart Çıkış</t>
  </si>
  <si>
    <t>Grup 1 Tayfun Çakır ile birlikte double konaklama.</t>
  </si>
  <si>
    <t>MERSİN</t>
  </si>
  <si>
    <t>Rasim SAMANLI</t>
  </si>
  <si>
    <t>Grup 1</t>
  </si>
  <si>
    <t>Grup 2</t>
  </si>
  <si>
    <t>DBL</t>
  </si>
  <si>
    <t>SNG</t>
  </si>
  <si>
    <t>NESRİN EMİR</t>
  </si>
  <si>
    <t>ELAZIĞ</t>
  </si>
  <si>
    <t>ELVAN DEMİRTÜRK</t>
  </si>
  <si>
    <t>İZMİT</t>
  </si>
  <si>
    <t>TTS ?</t>
  </si>
  <si>
    <t>MELİH  K. AYGÜN</t>
  </si>
  <si>
    <t>*1 Gece: 9 Mart Giriş - 10 Mart Çıkış</t>
  </si>
  <si>
    <t>x</t>
  </si>
  <si>
    <t>Malzeme Alımı</t>
  </si>
  <si>
    <t>Kuru Boya Kalem</t>
  </si>
  <si>
    <t>09 Mart - 14 araç
10 Mart - 15 araç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</si>
</sst>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₺&quot;* #,##0.00_-;\-&quot;₺&quot;* #,##0.00_-;_-&quot;₺&quot;* &quot;-&quot;??_-;_-@_-"/>
    <numFmt numFmtId="164" formatCode="_-* #,##0.00\ &quot;TL&quot;_-;\-* #,##0.00\ &quot;TL&quot;_-;_-* &quot;-&quot;??\ &quot;TL&quot;_-;_-@_-"/>
    <numFmt numFmtId="165" formatCode="#,##0.00\ [$€-407]"/>
    <numFmt numFmtId="166" formatCode="_-[$€-2]\ * #,##0.00_-;\-[$€-2]\ * #,##0.00_-;_-[$€-2]\ * &quot;-&quot;??_-;_-@_-"/>
    <numFmt numFmtId="167" formatCode="#,##0.00\ [$EUR]"/>
    <numFmt numFmtId="168" formatCode="_-* #,##0.00\ &quot;TL&quot;_-;\-* #,##0.00\ &quot;TL&quot;_-;_-* &quot;-&quot;\ &quot;TL&quot;_-;_-@_-"/>
    <numFmt numFmtId="169" formatCode="_-&quot;₺&quot;* #,##0.0000_-;\-&quot;₺&quot;* #,##0.0000_-;_-&quot;₺&quot;* &quot;-&quot;??_-;_-@_-"/>
    <numFmt numFmtId="170" formatCode="[$-F800]dddd\,\ mmmm\ dd\,\ yyyy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1"/>
      <color theme="1"/>
      <name val="Calibri"/>
      <family val="2"/>
      <scheme val="minor"/>
    </font>
    <font>
      <sz val="12"/>
      <name val="Candara"/>
      <family val="2"/>
      <charset val="162"/>
    </font>
    <font>
      <b/>
      <sz val="12"/>
      <color rgb="FFFF0000"/>
      <name val="Candara"/>
      <family val="2"/>
      <charset val="162"/>
    </font>
    <font>
      <b/>
      <sz val="14"/>
      <name val="Candara"/>
      <family val="2"/>
      <charset val="162"/>
    </font>
    <font>
      <sz val="14"/>
      <name val="Candara"/>
      <family val="2"/>
      <charset val="162"/>
    </font>
    <font>
      <b/>
      <i/>
      <sz val="14"/>
      <name val="Candara"/>
      <family val="2"/>
      <charset val="162"/>
    </font>
    <font>
      <b/>
      <i/>
      <sz val="12"/>
      <color indexed="10"/>
      <name val="Candara"/>
      <family val="2"/>
      <charset val="162"/>
    </font>
    <font>
      <b/>
      <sz val="12"/>
      <name val="Candara"/>
      <family val="2"/>
      <charset val="162"/>
    </font>
    <font>
      <b/>
      <i/>
      <sz val="12"/>
      <color rgb="FFFF0000"/>
      <name val="Candara"/>
      <family val="2"/>
      <charset val="162"/>
    </font>
    <font>
      <b/>
      <i/>
      <sz val="12"/>
      <name val="Candara"/>
      <family val="2"/>
      <charset val="162"/>
    </font>
    <font>
      <sz val="12"/>
      <color rgb="FFFF0000"/>
      <name val="Candara"/>
      <family val="2"/>
      <charset val="162"/>
    </font>
    <font>
      <b/>
      <i/>
      <sz val="18"/>
      <color rgb="FFFF0000"/>
      <name val="Candara"/>
      <family val="2"/>
      <charset val="162"/>
    </font>
    <font>
      <sz val="11"/>
      <color theme="1"/>
      <name val="Candara"/>
      <family val="2"/>
      <charset val="162"/>
    </font>
    <font>
      <b/>
      <sz val="13"/>
      <color theme="1"/>
      <name val="Calibri"/>
      <family val="2"/>
      <scheme val="minor"/>
    </font>
    <font>
      <sz val="11"/>
      <color rgb="FF000000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sz val="9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FF0000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  <charset val="16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7">
    <xf numFmtId="0" fontId="0" fillId="0" borderId="0"/>
    <xf numFmtId="44" fontId="10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  <xf numFmtId="0" fontId="1" fillId="0" borderId="0"/>
  </cellStyleXfs>
  <cellXfs count="231">
    <xf numFmtId="0" fontId="0" fillId="0" borderId="0" xfId="0"/>
    <xf numFmtId="4" fontId="11" fillId="0" borderId="8" xfId="5" applyNumberFormat="1" applyFont="1" applyFill="1" applyBorder="1" applyAlignment="1">
      <alignment horizontal="center" vertical="center"/>
    </xf>
    <xf numFmtId="168" fontId="11" fillId="0" borderId="8" xfId="3" applyNumberFormat="1" applyFont="1" applyFill="1" applyBorder="1" applyAlignment="1">
      <alignment horizontal="center" vertical="center"/>
    </xf>
    <xf numFmtId="165" fontId="17" fillId="0" borderId="1" xfId="3" applyNumberFormat="1" applyFont="1" applyFill="1" applyBorder="1" applyAlignment="1">
      <alignment horizontal="center" vertical="center" wrapText="1"/>
    </xf>
    <xf numFmtId="167" fontId="17" fillId="0" borderId="1" xfId="3" applyNumberFormat="1" applyFont="1" applyFill="1" applyBorder="1" applyAlignment="1">
      <alignment horizontal="center" vertical="center"/>
    </xf>
    <xf numFmtId="168" fontId="17" fillId="0" borderId="1" xfId="3" applyNumberFormat="1" applyFont="1" applyFill="1" applyBorder="1" applyAlignment="1">
      <alignment horizontal="center" vertical="center"/>
    </xf>
    <xf numFmtId="44" fontId="17" fillId="0" borderId="1" xfId="1" applyFont="1" applyFill="1" applyBorder="1" applyAlignment="1">
      <alignment horizontal="center" vertical="center"/>
    </xf>
    <xf numFmtId="44" fontId="11" fillId="0" borderId="12" xfId="1" applyFont="1" applyFill="1" applyBorder="1" applyAlignment="1">
      <alignment horizontal="center" vertical="center"/>
    </xf>
    <xf numFmtId="165" fontId="11" fillId="0" borderId="0" xfId="3" applyNumberFormat="1" applyFont="1" applyFill="1" applyAlignment="1">
      <alignment horizontal="center" vertical="center" wrapText="1"/>
    </xf>
    <xf numFmtId="0" fontId="11" fillId="0" borderId="10" xfId="2" applyFont="1" applyBorder="1" applyAlignment="1">
      <alignment horizontal="left" vertical="center" wrapText="1"/>
    </xf>
    <xf numFmtId="0" fontId="11" fillId="0" borderId="9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/>
    </xf>
    <xf numFmtId="0" fontId="11" fillId="0" borderId="0" xfId="2" applyFont="1" applyAlignment="1">
      <alignment vertical="center"/>
    </xf>
    <xf numFmtId="0" fontId="15" fillId="0" borderId="11" xfId="2" applyFont="1" applyBorder="1" applyAlignment="1">
      <alignment horizontal="left" vertical="center"/>
    </xf>
    <xf numFmtId="0" fontId="15" fillId="0" borderId="7" xfId="2" applyFont="1" applyBorder="1" applyAlignment="1">
      <alignment horizontal="left" vertical="center"/>
    </xf>
    <xf numFmtId="0" fontId="14" fillId="0" borderId="6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168" fontId="14" fillId="0" borderId="4" xfId="2" applyNumberFormat="1" applyFont="1" applyBorder="1" applyAlignment="1">
      <alignment horizontal="center" vertical="center"/>
    </xf>
    <xf numFmtId="0" fontId="19" fillId="2" borderId="13" xfId="2" applyFont="1" applyFill="1" applyBorder="1" applyAlignment="1">
      <alignment horizontal="left" vertical="center"/>
    </xf>
    <xf numFmtId="0" fontId="19" fillId="2" borderId="16" xfId="2" applyFont="1" applyFill="1" applyBorder="1" applyAlignment="1">
      <alignment horizontal="center" vertical="center"/>
    </xf>
    <xf numFmtId="0" fontId="19" fillId="2" borderId="15" xfId="2" applyFont="1" applyFill="1" applyBorder="1" applyAlignment="1">
      <alignment horizontal="center" vertical="center"/>
    </xf>
    <xf numFmtId="168" fontId="19" fillId="2" borderId="15" xfId="2" applyNumberFormat="1" applyFont="1" applyFill="1" applyBorder="1" applyAlignment="1">
      <alignment horizontal="center" vertical="center"/>
    </xf>
    <xf numFmtId="167" fontId="19" fillId="2" borderId="15" xfId="2" applyNumberFormat="1" applyFont="1" applyFill="1" applyBorder="1" applyAlignment="1">
      <alignment horizontal="center" vertical="center"/>
    </xf>
    <xf numFmtId="44" fontId="11" fillId="2" borderId="14" xfId="1" applyFont="1" applyFill="1" applyBorder="1" applyAlignment="1">
      <alignment horizontal="center" vertical="center"/>
    </xf>
    <xf numFmtId="0" fontId="18" fillId="4" borderId="10" xfId="2" applyFont="1" applyFill="1" applyBorder="1" applyAlignment="1">
      <alignment horizontal="left" vertical="center" wrapText="1"/>
    </xf>
    <xf numFmtId="0" fontId="17" fillId="4" borderId="9" xfId="2" applyFont="1" applyFill="1" applyBorder="1" applyAlignment="1">
      <alignment horizontal="center" vertical="center" wrapText="1"/>
    </xf>
    <xf numFmtId="0" fontId="17" fillId="4" borderId="8" xfId="2" applyFont="1" applyFill="1" applyBorder="1" applyAlignment="1">
      <alignment horizontal="center" vertical="center"/>
    </xf>
    <xf numFmtId="168" fontId="17" fillId="4" borderId="8" xfId="3" applyNumberFormat="1" applyFont="1" applyFill="1" applyBorder="1" applyAlignment="1">
      <alignment horizontal="center" vertical="center"/>
    </xf>
    <xf numFmtId="167" fontId="17" fillId="4" borderId="8" xfId="3" applyNumberFormat="1" applyFont="1" applyFill="1" applyBorder="1" applyAlignment="1">
      <alignment horizontal="center" vertical="center"/>
    </xf>
    <xf numFmtId="44" fontId="12" fillId="4" borderId="12" xfId="1" applyFont="1" applyFill="1" applyBorder="1" applyAlignment="1">
      <alignment horizontal="center" vertical="center"/>
    </xf>
    <xf numFmtId="0" fontId="11" fillId="0" borderId="25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/>
    </xf>
    <xf numFmtId="168" fontId="11" fillId="0" borderId="5" xfId="3" applyNumberFormat="1" applyFont="1" applyFill="1" applyBorder="1" applyAlignment="1">
      <alignment horizontal="center" vertical="center"/>
    </xf>
    <xf numFmtId="4" fontId="11" fillId="0" borderId="5" xfId="5" applyNumberFormat="1" applyFont="1" applyFill="1" applyBorder="1" applyAlignment="1">
      <alignment horizontal="center" vertical="center"/>
    </xf>
    <xf numFmtId="44" fontId="13" fillId="0" borderId="26" xfId="1" applyFont="1" applyFill="1" applyBorder="1" applyAlignment="1">
      <alignment horizontal="center" vertical="center"/>
    </xf>
    <xf numFmtId="44" fontId="13" fillId="0" borderId="24" xfId="1" applyFont="1" applyFill="1" applyBorder="1" applyAlignment="1">
      <alignment horizontal="center" vertical="center"/>
    </xf>
    <xf numFmtId="0" fontId="20" fillId="0" borderId="0" xfId="2" applyFont="1" applyAlignment="1">
      <alignment vertical="center" wrapText="1"/>
    </xf>
    <xf numFmtId="0" fontId="15" fillId="0" borderId="10" xfId="2" applyFont="1" applyBorder="1" applyAlignment="1">
      <alignment horizontal="left" vertical="center"/>
    </xf>
    <xf numFmtId="0" fontId="14" fillId="0" borderId="9" xfId="2" applyFont="1" applyBorder="1" applyAlignment="1">
      <alignment horizontal="center" vertical="center"/>
    </xf>
    <xf numFmtId="0" fontId="14" fillId="0" borderId="8" xfId="2" applyFont="1" applyBorder="1" applyAlignment="1">
      <alignment horizontal="center" vertical="center"/>
    </xf>
    <xf numFmtId="168" fontId="14" fillId="0" borderId="8" xfId="2" applyNumberFormat="1" applyFont="1" applyBorder="1" applyAlignment="1">
      <alignment horizontal="center" vertical="center"/>
    </xf>
    <xf numFmtId="44" fontId="13" fillId="0" borderId="27" xfId="1" applyFont="1" applyFill="1" applyBorder="1" applyAlignment="1">
      <alignment horizontal="center" vertical="center"/>
    </xf>
    <xf numFmtId="0" fontId="11" fillId="2" borderId="13" xfId="3" applyNumberFormat="1" applyFont="1" applyFill="1" applyBorder="1" applyAlignment="1">
      <alignment horizontal="center" vertical="center" wrapText="1"/>
    </xf>
    <xf numFmtId="0" fontId="17" fillId="0" borderId="10" xfId="3" applyNumberFormat="1" applyFont="1" applyFill="1" applyBorder="1" applyAlignment="1">
      <alignment horizontal="center" vertical="center" wrapText="1"/>
    </xf>
    <xf numFmtId="0" fontId="11" fillId="0" borderId="13" xfId="3" applyNumberFormat="1" applyFont="1" applyFill="1" applyBorder="1" applyAlignment="1">
      <alignment horizontal="center" vertical="center" wrapText="1"/>
    </xf>
    <xf numFmtId="0" fontId="11" fillId="0" borderId="7" xfId="3" applyNumberFormat="1" applyFont="1" applyFill="1" applyBorder="1" applyAlignment="1">
      <alignment horizontal="center" vertical="center" wrapText="1"/>
    </xf>
    <xf numFmtId="0" fontId="18" fillId="0" borderId="13" xfId="3" applyNumberFormat="1" applyFont="1" applyFill="1" applyBorder="1" applyAlignment="1">
      <alignment horizontal="center" vertical="center" wrapText="1"/>
    </xf>
    <xf numFmtId="0" fontId="19" fillId="0" borderId="11" xfId="2" applyFont="1" applyBorder="1" applyAlignment="1">
      <alignment horizontal="left" vertical="center"/>
    </xf>
    <xf numFmtId="0" fontId="19" fillId="0" borderId="10" xfId="2" applyFont="1" applyBorder="1" applyAlignment="1">
      <alignment horizontal="left" vertical="center"/>
    </xf>
    <xf numFmtId="0" fontId="19" fillId="0" borderId="7" xfId="2" applyFont="1" applyBorder="1" applyAlignment="1">
      <alignment horizontal="left" vertical="center"/>
    </xf>
    <xf numFmtId="0" fontId="19" fillId="0" borderId="3" xfId="2" applyFont="1" applyBorder="1" applyAlignment="1">
      <alignment horizontal="left" vertical="center"/>
    </xf>
    <xf numFmtId="0" fontId="18" fillId="0" borderId="1" xfId="2" applyFont="1" applyBorder="1" applyAlignment="1">
      <alignment horizontal="left" vertical="center" wrapText="1"/>
    </xf>
    <xf numFmtId="0" fontId="17" fillId="0" borderId="2" xfId="2" applyFont="1" applyBorder="1" applyAlignment="1">
      <alignment horizontal="center" vertical="center" wrapText="1"/>
    </xf>
    <xf numFmtId="0" fontId="17" fillId="0" borderId="1" xfId="2" applyFont="1" applyBorder="1" applyAlignment="1">
      <alignment horizontal="center" vertical="center"/>
    </xf>
    <xf numFmtId="0" fontId="19" fillId="0" borderId="13" xfId="2" applyFont="1" applyBorder="1" applyAlignment="1">
      <alignment horizontal="left" vertical="center"/>
    </xf>
    <xf numFmtId="0" fontId="19" fillId="0" borderId="16" xfId="2" applyFont="1" applyBorder="1" applyAlignment="1">
      <alignment horizontal="center" vertical="center"/>
    </xf>
    <xf numFmtId="0" fontId="19" fillId="0" borderId="15" xfId="2" applyFont="1" applyBorder="1" applyAlignment="1">
      <alignment horizontal="center" vertical="center"/>
    </xf>
    <xf numFmtId="168" fontId="19" fillId="0" borderId="15" xfId="2" applyNumberFormat="1" applyFont="1" applyBorder="1" applyAlignment="1">
      <alignment horizontal="center" vertical="center"/>
    </xf>
    <xf numFmtId="167" fontId="19" fillId="0" borderId="15" xfId="2" applyNumberFormat="1" applyFont="1" applyBorder="1" applyAlignment="1">
      <alignment horizontal="center" vertical="center"/>
    </xf>
    <xf numFmtId="44" fontId="11" fillId="0" borderId="14" xfId="1" applyFont="1" applyFill="1" applyBorder="1" applyAlignment="1">
      <alignment horizontal="center" vertical="center"/>
    </xf>
    <xf numFmtId="16" fontId="18" fillId="2" borderId="13" xfId="3" applyNumberFormat="1" applyFont="1" applyFill="1" applyBorder="1" applyAlignment="1">
      <alignment horizontal="center" vertical="center" wrapText="1"/>
    </xf>
    <xf numFmtId="169" fontId="22" fillId="0" borderId="0" xfId="6" applyNumberFormat="1" applyFont="1" applyFill="1" applyAlignment="1">
      <alignment horizontal="left" vertical="center"/>
    </xf>
    <xf numFmtId="0" fontId="11" fillId="0" borderId="0" xfId="2" applyFont="1" applyAlignment="1">
      <alignment horizontal="left" vertical="center"/>
    </xf>
    <xf numFmtId="0" fontId="11" fillId="0" borderId="0" xfId="2" applyFont="1" applyAlignment="1">
      <alignment horizontal="center" vertical="center"/>
    </xf>
    <xf numFmtId="168" fontId="11" fillId="0" borderId="0" xfId="2" applyNumberFormat="1" applyFont="1" applyAlignment="1">
      <alignment horizontal="center" vertical="center"/>
    </xf>
    <xf numFmtId="167" fontId="11" fillId="0" borderId="0" xfId="2" applyNumberFormat="1" applyFont="1" applyAlignment="1">
      <alignment horizontal="center" vertical="center"/>
    </xf>
    <xf numFmtId="44" fontId="11" fillId="0" borderId="0" xfId="1" applyFont="1" applyFill="1" applyAlignment="1">
      <alignment horizontal="center" vertical="center"/>
    </xf>
    <xf numFmtId="0" fontId="16" fillId="0" borderId="0" xfId="2" applyFont="1" applyAlignment="1">
      <alignment vertical="center"/>
    </xf>
    <xf numFmtId="0" fontId="19" fillId="0" borderId="0" xfId="2" applyFont="1" applyAlignment="1">
      <alignment vertical="center"/>
    </xf>
    <xf numFmtId="0" fontId="9" fillId="0" borderId="0" xfId="4" applyAlignment="1">
      <alignment vertical="center"/>
    </xf>
    <xf numFmtId="0" fontId="11" fillId="3" borderId="0" xfId="2" applyFont="1" applyFill="1" applyAlignment="1">
      <alignment vertical="center"/>
    </xf>
    <xf numFmtId="0" fontId="12" fillId="0" borderId="0" xfId="2" applyFont="1" applyAlignment="1">
      <alignment horizontal="left" vertical="center"/>
    </xf>
    <xf numFmtId="166" fontId="11" fillId="0" borderId="0" xfId="3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5" borderId="8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167" fontId="11" fillId="0" borderId="8" xfId="3" applyNumberFormat="1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9" fillId="11" borderId="8" xfId="13" applyFont="1" applyFill="1" applyBorder="1" applyAlignment="1">
      <alignment horizontal="center" vertical="center"/>
    </xf>
    <xf numFmtId="0" fontId="29" fillId="12" borderId="8" xfId="13" applyFont="1" applyFill="1" applyBorder="1" applyAlignment="1">
      <alignment horizontal="center" vertical="center"/>
    </xf>
    <xf numFmtId="0" fontId="26" fillId="0" borderId="0" xfId="16" applyFont="1" applyAlignment="1">
      <alignment horizontal="center" vertical="center"/>
    </xf>
    <xf numFmtId="0" fontId="1" fillId="0" borderId="0" xfId="16"/>
    <xf numFmtId="0" fontId="26" fillId="0" borderId="14" xfId="16" applyFont="1" applyBorder="1" applyAlignment="1">
      <alignment horizontal="center" vertical="center"/>
    </xf>
    <xf numFmtId="0" fontId="28" fillId="6" borderId="33" xfId="16" applyFont="1" applyFill="1" applyBorder="1" applyAlignment="1">
      <alignment horizontal="center" vertical="center"/>
    </xf>
    <xf numFmtId="0" fontId="28" fillId="6" borderId="32" xfId="16" applyFont="1" applyFill="1" applyBorder="1" applyAlignment="1">
      <alignment horizontal="center"/>
    </xf>
    <xf numFmtId="0" fontId="28" fillId="6" borderId="1" xfId="16" applyFont="1" applyFill="1" applyBorder="1" applyAlignment="1">
      <alignment horizontal="center"/>
    </xf>
    <xf numFmtId="0" fontId="28" fillId="6" borderId="17" xfId="16" applyFont="1" applyFill="1" applyBorder="1" applyAlignment="1">
      <alignment horizontal="center"/>
    </xf>
    <xf numFmtId="0" fontId="26" fillId="0" borderId="12" xfId="16" applyFont="1" applyBorder="1" applyAlignment="1">
      <alignment horizontal="center" vertical="center"/>
    </xf>
    <xf numFmtId="0" fontId="29" fillId="5" borderId="11" xfId="16" applyFont="1" applyFill="1" applyBorder="1" applyAlignment="1">
      <alignment vertical="center"/>
    </xf>
    <xf numFmtId="0" fontId="1" fillId="2" borderId="11" xfId="16" applyFill="1" applyBorder="1" applyAlignment="1">
      <alignment horizontal="center"/>
    </xf>
    <xf numFmtId="0" fontId="29" fillId="0" borderId="34" xfId="16" applyFont="1" applyBorder="1" applyAlignment="1">
      <alignment horizontal="center" vertical="center"/>
    </xf>
    <xf numFmtId="0" fontId="1" fillId="0" borderId="34" xfId="16" applyBorder="1" applyAlignment="1">
      <alignment horizontal="center"/>
    </xf>
    <xf numFmtId="0" fontId="1" fillId="0" borderId="11" xfId="16" applyBorder="1" applyAlignment="1">
      <alignment horizontal="center"/>
    </xf>
    <xf numFmtId="0" fontId="1" fillId="5" borderId="35" xfId="16" applyFill="1" applyBorder="1" applyAlignment="1">
      <alignment horizontal="center"/>
    </xf>
    <xf numFmtId="0" fontId="30" fillId="0" borderId="11" xfId="16" applyFont="1" applyBorder="1" applyAlignment="1">
      <alignment horizontal="center"/>
    </xf>
    <xf numFmtId="0" fontId="29" fillId="5" borderId="10" xfId="16" applyFont="1" applyFill="1" applyBorder="1" applyAlignment="1">
      <alignment vertical="center"/>
    </xf>
    <xf numFmtId="0" fontId="1" fillId="2" borderId="10" xfId="16" applyFill="1" applyBorder="1" applyAlignment="1">
      <alignment horizontal="center"/>
    </xf>
    <xf numFmtId="0" fontId="29" fillId="0" borderId="36" xfId="16" applyFont="1" applyBorder="1" applyAlignment="1">
      <alignment horizontal="center" vertical="center"/>
    </xf>
    <xf numFmtId="0" fontId="1" fillId="0" borderId="36" xfId="16" applyBorder="1" applyAlignment="1">
      <alignment horizontal="center"/>
    </xf>
    <xf numFmtId="0" fontId="1" fillId="0" borderId="10" xfId="16" applyBorder="1" applyAlignment="1">
      <alignment horizontal="center"/>
    </xf>
    <xf numFmtId="0" fontId="1" fillId="5" borderId="0" xfId="16" applyFill="1" applyAlignment="1">
      <alignment horizontal="center"/>
    </xf>
    <xf numFmtId="0" fontId="30" fillId="0" borderId="10" xfId="16" applyFont="1" applyBorder="1" applyAlignment="1">
      <alignment horizontal="center"/>
    </xf>
    <xf numFmtId="0" fontId="29" fillId="2" borderId="10" xfId="16" applyFont="1" applyFill="1" applyBorder="1" applyAlignment="1">
      <alignment vertical="center"/>
    </xf>
    <xf numFmtId="0" fontId="10" fillId="2" borderId="37" xfId="16" applyFont="1" applyFill="1" applyBorder="1" applyAlignment="1">
      <alignment horizontal="center"/>
    </xf>
    <xf numFmtId="0" fontId="10" fillId="0" borderId="13" xfId="16" applyFont="1" applyBorder="1" applyAlignment="1">
      <alignment horizontal="center"/>
    </xf>
    <xf numFmtId="0" fontId="1" fillId="2" borderId="37" xfId="16" applyFill="1" applyBorder="1" applyAlignment="1">
      <alignment horizontal="center"/>
    </xf>
    <xf numFmtId="0" fontId="29" fillId="7" borderId="10" xfId="16" applyFont="1" applyFill="1" applyBorder="1" applyAlignment="1">
      <alignment vertical="center"/>
    </xf>
    <xf numFmtId="0" fontId="10" fillId="7" borderId="37" xfId="16" applyFont="1" applyFill="1" applyBorder="1" applyAlignment="1">
      <alignment horizontal="center"/>
    </xf>
    <xf numFmtId="0" fontId="10" fillId="0" borderId="10" xfId="16" applyFont="1" applyBorder="1" applyAlignment="1">
      <alignment horizontal="center"/>
    </xf>
    <xf numFmtId="0" fontId="1" fillId="7" borderId="37" xfId="16" applyFill="1" applyBorder="1" applyAlignment="1">
      <alignment horizontal="center"/>
    </xf>
    <xf numFmtId="0" fontId="29" fillId="8" borderId="10" xfId="16" applyFont="1" applyFill="1" applyBorder="1" applyAlignment="1">
      <alignment vertical="center"/>
    </xf>
    <xf numFmtId="0" fontId="10" fillId="8" borderId="38" xfId="16" applyFont="1" applyFill="1" applyBorder="1" applyAlignment="1">
      <alignment horizontal="center"/>
    </xf>
    <xf numFmtId="0" fontId="25" fillId="0" borderId="10" xfId="16" applyFont="1" applyBorder="1" applyAlignment="1">
      <alignment horizontal="center"/>
    </xf>
    <xf numFmtId="0" fontId="29" fillId="8" borderId="39" xfId="16" applyFont="1" applyFill="1" applyBorder="1" applyAlignment="1">
      <alignment vertical="center"/>
    </xf>
    <xf numFmtId="0" fontId="1" fillId="2" borderId="39" xfId="16" applyFill="1" applyBorder="1" applyAlignment="1">
      <alignment horizontal="center"/>
    </xf>
    <xf numFmtId="0" fontId="29" fillId="0" borderId="0" xfId="16" applyFont="1" applyAlignment="1">
      <alignment horizontal="center" vertical="center"/>
    </xf>
    <xf numFmtId="0" fontId="10" fillId="8" borderId="37" xfId="16" applyFont="1" applyFill="1" applyBorder="1" applyAlignment="1">
      <alignment horizontal="center"/>
    </xf>
    <xf numFmtId="0" fontId="1" fillId="9" borderId="10" xfId="16" applyFill="1" applyBorder="1"/>
    <xf numFmtId="0" fontId="1" fillId="0" borderId="37" xfId="16" applyBorder="1" applyAlignment="1">
      <alignment horizontal="center"/>
    </xf>
    <xf numFmtId="0" fontId="10" fillId="9" borderId="38" xfId="16" applyFont="1" applyFill="1" applyBorder="1" applyAlignment="1">
      <alignment horizontal="center"/>
    </xf>
    <xf numFmtId="0" fontId="1" fillId="13" borderId="10" xfId="16" applyFill="1" applyBorder="1"/>
    <xf numFmtId="0" fontId="10" fillId="13" borderId="38" xfId="16" applyFont="1" applyFill="1" applyBorder="1" applyAlignment="1">
      <alignment horizontal="center"/>
    </xf>
    <xf numFmtId="0" fontId="30" fillId="0" borderId="36" xfId="16" applyFont="1" applyBorder="1" applyAlignment="1">
      <alignment horizontal="center"/>
    </xf>
    <xf numFmtId="0" fontId="10" fillId="13" borderId="37" xfId="16" applyFont="1" applyFill="1" applyBorder="1" applyAlignment="1">
      <alignment horizontal="center"/>
    </xf>
    <xf numFmtId="0" fontId="10" fillId="0" borderId="36" xfId="16" applyFont="1" applyBorder="1" applyAlignment="1">
      <alignment horizontal="center"/>
    </xf>
    <xf numFmtId="0" fontId="1" fillId="0" borderId="10" xfId="16" applyBorder="1"/>
    <xf numFmtId="0" fontId="1" fillId="0" borderId="37" xfId="16" applyBorder="1"/>
    <xf numFmtId="0" fontId="1" fillId="0" borderId="13" xfId="16" applyBorder="1" applyAlignment="1">
      <alignment horizontal="center"/>
    </xf>
    <xf numFmtId="0" fontId="1" fillId="2" borderId="10" xfId="16" applyFill="1" applyBorder="1"/>
    <xf numFmtId="0" fontId="1" fillId="2" borderId="7" xfId="16" applyFill="1" applyBorder="1"/>
    <xf numFmtId="0" fontId="1" fillId="2" borderId="3" xfId="16" applyFill="1" applyBorder="1" applyAlignment="1">
      <alignment horizontal="center"/>
    </xf>
    <xf numFmtId="0" fontId="1" fillId="2" borderId="40" xfId="16" applyFill="1" applyBorder="1" applyAlignment="1">
      <alignment horizontal="center"/>
    </xf>
    <xf numFmtId="0" fontId="1" fillId="0" borderId="41" xfId="16" applyBorder="1" applyAlignment="1">
      <alignment horizontal="center"/>
    </xf>
    <xf numFmtId="0" fontId="1" fillId="0" borderId="3" xfId="16" applyBorder="1" applyAlignment="1">
      <alignment horizontal="center"/>
    </xf>
    <xf numFmtId="0" fontId="10" fillId="2" borderId="40" xfId="16" applyFont="1" applyFill="1" applyBorder="1" applyAlignment="1">
      <alignment horizontal="center"/>
    </xf>
    <xf numFmtId="0" fontId="30" fillId="0" borderId="7" xfId="16" applyFont="1" applyBorder="1" applyAlignment="1">
      <alignment horizontal="center"/>
    </xf>
    <xf numFmtId="0" fontId="1" fillId="0" borderId="7" xfId="16" applyBorder="1" applyAlignment="1">
      <alignment horizontal="center"/>
    </xf>
    <xf numFmtId="0" fontId="31" fillId="0" borderId="0" xfId="16" applyFont="1" applyAlignment="1">
      <alignment horizontal="center" vertical="center"/>
    </xf>
    <xf numFmtId="0" fontId="28" fillId="0" borderId="0" xfId="16" applyFont="1" applyAlignment="1">
      <alignment horizontal="center" vertical="center"/>
    </xf>
    <xf numFmtId="0" fontId="31" fillId="0" borderId="0" xfId="16" applyFont="1" applyAlignment="1">
      <alignment horizontal="center"/>
    </xf>
    <xf numFmtId="14" fontId="31" fillId="0" borderId="0" xfId="16" applyNumberFormat="1" applyFont="1" applyAlignment="1">
      <alignment horizontal="center" vertical="center"/>
    </xf>
    <xf numFmtId="0" fontId="32" fillId="0" borderId="0" xfId="16" applyFont="1"/>
    <xf numFmtId="0" fontId="33" fillId="0" borderId="0" xfId="16" applyFont="1"/>
    <xf numFmtId="0" fontId="33" fillId="0" borderId="42" xfId="16" applyFont="1" applyBorder="1" applyAlignment="1">
      <alignment horizontal="center"/>
    </xf>
    <xf numFmtId="0" fontId="33" fillId="0" borderId="18" xfId="16" applyFont="1" applyBorder="1" applyAlignment="1">
      <alignment horizontal="center"/>
    </xf>
    <xf numFmtId="0" fontId="33" fillId="0" borderId="1" xfId="16" applyFont="1" applyBorder="1" applyAlignment="1">
      <alignment horizontal="center"/>
    </xf>
    <xf numFmtId="0" fontId="33" fillId="0" borderId="0" xfId="16" applyFont="1" applyAlignment="1">
      <alignment horizontal="center"/>
    </xf>
    <xf numFmtId="0" fontId="33" fillId="0" borderId="31" xfId="16" applyFont="1" applyBorder="1" applyAlignment="1">
      <alignment horizontal="center"/>
    </xf>
    <xf numFmtId="0" fontId="33" fillId="0" borderId="32" xfId="16" applyFont="1" applyBorder="1" applyAlignment="1">
      <alignment horizontal="center"/>
    </xf>
    <xf numFmtId="0" fontId="33" fillId="0" borderId="43" xfId="16" applyFont="1" applyBorder="1" applyAlignment="1">
      <alignment horizontal="center"/>
    </xf>
    <xf numFmtId="0" fontId="26" fillId="0" borderId="0" xfId="16" applyFont="1" applyAlignment="1">
      <alignment horizontal="left" vertical="center"/>
    </xf>
    <xf numFmtId="0" fontId="26" fillId="0" borderId="0" xfId="16" applyFont="1" applyAlignment="1">
      <alignment horizontal="center"/>
    </xf>
    <xf numFmtId="0" fontId="26" fillId="0" borderId="0" xfId="16" applyFont="1"/>
    <xf numFmtId="0" fontId="28" fillId="6" borderId="44" xfId="16" applyFont="1" applyFill="1" applyBorder="1" applyAlignment="1">
      <alignment horizontal="center" vertical="center"/>
    </xf>
    <xf numFmtId="0" fontId="26" fillId="0" borderId="8" xfId="16" applyFont="1" applyBorder="1" applyAlignment="1">
      <alignment horizontal="center" vertical="center"/>
    </xf>
    <xf numFmtId="0" fontId="1" fillId="2" borderId="36" xfId="16" applyFill="1" applyBorder="1"/>
    <xf numFmtId="0" fontId="1" fillId="2" borderId="9" xfId="16" applyFill="1" applyBorder="1" applyAlignment="1">
      <alignment horizontal="center"/>
    </xf>
    <xf numFmtId="0" fontId="1" fillId="2" borderId="34" xfId="16" applyFill="1" applyBorder="1" applyAlignment="1">
      <alignment horizontal="center"/>
    </xf>
    <xf numFmtId="0" fontId="1" fillId="7" borderId="36" xfId="16" applyFill="1" applyBorder="1"/>
    <xf numFmtId="0" fontId="1" fillId="7" borderId="36" xfId="16" applyFill="1" applyBorder="1" applyAlignment="1">
      <alignment horizontal="center"/>
    </xf>
    <xf numFmtId="0" fontId="10" fillId="7" borderId="36" xfId="16" applyFont="1" applyFill="1" applyBorder="1" applyAlignment="1">
      <alignment horizontal="center"/>
    </xf>
    <xf numFmtId="0" fontId="1" fillId="2" borderId="36" xfId="16" applyFill="1" applyBorder="1" applyAlignment="1">
      <alignment horizontal="center"/>
    </xf>
    <xf numFmtId="0" fontId="1" fillId="9" borderId="36" xfId="16" applyFill="1" applyBorder="1"/>
    <xf numFmtId="0" fontId="1" fillId="2" borderId="12" xfId="16" applyFill="1" applyBorder="1" applyAlignment="1">
      <alignment horizontal="center"/>
    </xf>
    <xf numFmtId="0" fontId="10" fillId="9" borderId="10" xfId="16" applyFont="1" applyFill="1" applyBorder="1" applyAlignment="1">
      <alignment horizontal="center"/>
    </xf>
    <xf numFmtId="0" fontId="10" fillId="2" borderId="36" xfId="16" applyFont="1" applyFill="1" applyBorder="1" applyAlignment="1">
      <alignment horizontal="center"/>
    </xf>
    <xf numFmtId="0" fontId="1" fillId="5" borderId="36" xfId="16" applyFill="1" applyBorder="1"/>
    <xf numFmtId="0" fontId="1" fillId="5" borderId="36" xfId="16" applyFill="1" applyBorder="1" applyAlignment="1">
      <alignment horizontal="center"/>
    </xf>
    <xf numFmtId="0" fontId="1" fillId="5" borderId="45" xfId="16" applyFill="1" applyBorder="1"/>
    <xf numFmtId="0" fontId="1" fillId="2" borderId="8" xfId="16" applyFill="1" applyBorder="1" applyAlignment="1">
      <alignment horizontal="center"/>
    </xf>
    <xf numFmtId="0" fontId="10" fillId="5" borderId="10" xfId="16" applyFont="1" applyFill="1" applyBorder="1" applyAlignment="1">
      <alignment horizontal="center"/>
    </xf>
    <xf numFmtId="0" fontId="10" fillId="2" borderId="10" xfId="16" applyFont="1" applyFill="1" applyBorder="1" applyAlignment="1">
      <alignment horizontal="center"/>
    </xf>
    <xf numFmtId="0" fontId="1" fillId="10" borderId="36" xfId="16" applyFill="1" applyBorder="1"/>
    <xf numFmtId="0" fontId="10" fillId="10" borderId="10" xfId="16" applyFont="1" applyFill="1" applyBorder="1" applyAlignment="1">
      <alignment horizontal="center"/>
    </xf>
    <xf numFmtId="0" fontId="10" fillId="10" borderId="36" xfId="16" applyFont="1" applyFill="1" applyBorder="1" applyAlignment="1">
      <alignment horizontal="center"/>
    </xf>
    <xf numFmtId="0" fontId="1" fillId="2" borderId="45" xfId="16" applyFill="1" applyBorder="1"/>
    <xf numFmtId="0" fontId="1" fillId="2" borderId="41" xfId="16" applyFill="1" applyBorder="1"/>
    <xf numFmtId="0" fontId="1" fillId="2" borderId="6" xfId="16" applyFill="1" applyBorder="1" applyAlignment="1">
      <alignment horizontal="center"/>
    </xf>
    <xf numFmtId="0" fontId="10" fillId="2" borderId="41" xfId="16" applyFont="1" applyFill="1" applyBorder="1" applyAlignment="1">
      <alignment horizontal="center"/>
    </xf>
    <xf numFmtId="0" fontId="33" fillId="0" borderId="44" xfId="16" applyFont="1" applyBorder="1" applyAlignment="1">
      <alignment horizontal="center"/>
    </xf>
    <xf numFmtId="0" fontId="0" fillId="0" borderId="46" xfId="0" applyBorder="1" applyAlignment="1">
      <alignment horizontal="center" vertical="center"/>
    </xf>
    <xf numFmtId="0" fontId="23" fillId="5" borderId="46" xfId="0" applyFont="1" applyFill="1" applyBorder="1" applyAlignment="1">
      <alignment horizontal="center" vertical="center"/>
    </xf>
    <xf numFmtId="170" fontId="23" fillId="5" borderId="46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3" fillId="5" borderId="15" xfId="0" applyFont="1" applyFill="1" applyBorder="1" applyAlignment="1">
      <alignment horizontal="center" vertical="center"/>
    </xf>
    <xf numFmtId="0" fontId="29" fillId="5" borderId="8" xfId="16" applyFont="1" applyFill="1" applyBorder="1" applyAlignment="1">
      <alignment vertical="center"/>
    </xf>
    <xf numFmtId="0" fontId="29" fillId="7" borderId="8" xfId="16" applyFont="1" applyFill="1" applyBorder="1" applyAlignment="1">
      <alignment vertical="center"/>
    </xf>
    <xf numFmtId="0" fontId="29" fillId="8" borderId="8" xfId="16" applyFont="1" applyFill="1" applyBorder="1" applyAlignment="1">
      <alignment vertical="center"/>
    </xf>
    <xf numFmtId="0" fontId="1" fillId="13" borderId="8" xfId="16" applyFill="1" applyBorder="1"/>
    <xf numFmtId="0" fontId="1" fillId="9" borderId="8" xfId="16" applyFill="1" applyBorder="1"/>
    <xf numFmtId="0" fontId="1" fillId="7" borderId="8" xfId="16" applyFill="1" applyBorder="1"/>
    <xf numFmtId="0" fontId="1" fillId="5" borderId="8" xfId="16" applyFill="1" applyBorder="1"/>
    <xf numFmtId="0" fontId="1" fillId="10" borderId="8" xfId="16" applyFill="1" applyBorder="1"/>
    <xf numFmtId="0" fontId="24" fillId="7" borderId="8" xfId="0" applyFont="1" applyFill="1" applyBorder="1" applyAlignment="1">
      <alignment horizontal="center" vertical="center"/>
    </xf>
    <xf numFmtId="9" fontId="11" fillId="0" borderId="0" xfId="2" applyNumberFormat="1" applyFont="1" applyAlignment="1">
      <alignment vertical="center"/>
    </xf>
    <xf numFmtId="9" fontId="19" fillId="0" borderId="0" xfId="2" applyNumberFormat="1" applyFont="1" applyAlignment="1">
      <alignment vertical="center"/>
    </xf>
    <xf numFmtId="44" fontId="19" fillId="0" borderId="0" xfId="2" applyNumberFormat="1" applyFont="1" applyAlignment="1">
      <alignment vertical="center"/>
    </xf>
    <xf numFmtId="44" fontId="19" fillId="0" borderId="0" xfId="2" applyNumberFormat="1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21" fillId="0" borderId="23" xfId="2" applyFont="1" applyBorder="1" applyAlignment="1">
      <alignment horizontal="center" vertical="center" wrapText="1"/>
    </xf>
    <xf numFmtId="0" fontId="21" fillId="0" borderId="22" xfId="2" applyFont="1" applyBorder="1" applyAlignment="1">
      <alignment horizontal="center" vertical="center"/>
    </xf>
    <xf numFmtId="0" fontId="21" fillId="0" borderId="21" xfId="2" applyFont="1" applyBorder="1" applyAlignment="1">
      <alignment horizontal="center" vertical="center"/>
    </xf>
    <xf numFmtId="0" fontId="21" fillId="0" borderId="20" xfId="2" applyFont="1" applyBorder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21" fillId="0" borderId="19" xfId="2" applyFont="1" applyBorder="1" applyAlignment="1">
      <alignment horizontal="center" vertical="center"/>
    </xf>
    <xf numFmtId="0" fontId="17" fillId="0" borderId="18" xfId="2" applyFont="1" applyBorder="1" applyAlignment="1">
      <alignment horizontal="center" vertical="center"/>
    </xf>
    <xf numFmtId="0" fontId="17" fillId="0" borderId="17" xfId="2" applyFont="1" applyBorder="1" applyAlignment="1">
      <alignment horizontal="center" vertical="center"/>
    </xf>
    <xf numFmtId="0" fontId="17" fillId="0" borderId="2" xfId="2" applyFont="1" applyBorder="1" applyAlignment="1">
      <alignment horizontal="center" vertical="center"/>
    </xf>
    <xf numFmtId="0" fontId="18" fillId="0" borderId="28" xfId="2" applyFont="1" applyBorder="1" applyAlignment="1">
      <alignment horizontal="center" vertical="center" wrapText="1"/>
    </xf>
    <xf numFmtId="0" fontId="18" fillId="0" borderId="5" xfId="2" applyFont="1" applyBorder="1" applyAlignment="1">
      <alignment horizontal="center" vertical="center" wrapText="1"/>
    </xf>
    <xf numFmtId="0" fontId="18" fillId="0" borderId="26" xfId="2" applyFont="1" applyBorder="1" applyAlignment="1">
      <alignment horizontal="center" vertical="center" wrapText="1"/>
    </xf>
    <xf numFmtId="0" fontId="18" fillId="0" borderId="29" xfId="2" applyFont="1" applyBorder="1" applyAlignment="1">
      <alignment horizontal="center" vertical="center" wrapText="1"/>
    </xf>
    <xf numFmtId="0" fontId="18" fillId="0" borderId="8" xfId="2" applyFont="1" applyBorder="1" applyAlignment="1">
      <alignment horizontal="center" vertical="center" wrapText="1"/>
    </xf>
    <xf numFmtId="0" fontId="18" fillId="0" borderId="27" xfId="2" applyFont="1" applyBorder="1" applyAlignment="1">
      <alignment horizontal="center" vertical="center" wrapText="1"/>
    </xf>
    <xf numFmtId="0" fontId="18" fillId="0" borderId="30" xfId="2" applyFont="1" applyBorder="1" applyAlignment="1">
      <alignment horizontal="center" vertical="center" wrapText="1"/>
    </xf>
    <xf numFmtId="0" fontId="18" fillId="0" borderId="4" xfId="2" applyFont="1" applyBorder="1" applyAlignment="1">
      <alignment horizontal="center" vertical="center" wrapText="1"/>
    </xf>
    <xf numFmtId="0" fontId="18" fillId="0" borderId="24" xfId="2" applyFont="1" applyBorder="1" applyAlignment="1">
      <alignment horizontal="center" vertical="center" wrapText="1"/>
    </xf>
    <xf numFmtId="0" fontId="22" fillId="0" borderId="18" xfId="7" applyFont="1" applyBorder="1" applyAlignment="1">
      <alignment horizontal="right" vertical="center"/>
    </xf>
    <xf numFmtId="0" fontId="22" fillId="0" borderId="17" xfId="7" applyFont="1" applyBorder="1" applyAlignment="1">
      <alignment horizontal="right" vertical="center"/>
    </xf>
    <xf numFmtId="0" fontId="22" fillId="0" borderId="31" xfId="7" applyFont="1" applyBorder="1" applyAlignment="1">
      <alignment horizontal="right" vertical="center"/>
    </xf>
    <xf numFmtId="0" fontId="18" fillId="0" borderId="32" xfId="2" applyFont="1" applyBorder="1" applyAlignment="1">
      <alignment horizontal="center" vertical="center" wrapText="1"/>
    </xf>
    <xf numFmtId="0" fontId="18" fillId="0" borderId="2" xfId="2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7" fillId="0" borderId="22" xfId="16" applyFont="1" applyBorder="1" applyAlignment="1">
      <alignment horizontal="center" vertical="center"/>
    </xf>
    <xf numFmtId="0" fontId="27" fillId="0" borderId="17" xfId="16" applyFont="1" applyBorder="1" applyAlignment="1">
      <alignment horizontal="center" vertical="center"/>
    </xf>
    <xf numFmtId="0" fontId="25" fillId="0" borderId="20" xfId="16" applyFont="1" applyBorder="1" applyAlignment="1">
      <alignment horizontal="center"/>
    </xf>
    <xf numFmtId="0" fontId="25" fillId="0" borderId="0" xfId="16" applyFont="1" applyAlignment="1">
      <alignment horizontal="center"/>
    </xf>
  </cellXfs>
  <cellStyles count="17">
    <cellStyle name="Normal" xfId="0" builtinId="0"/>
    <cellStyle name="Normal 2" xfId="7" xr:uid="{D6F9BBD0-0A0D-4106-93C0-C98123D71B11}"/>
    <cellStyle name="Normal 2 2" xfId="14" xr:uid="{3C3A8281-7EAD-4385-8A42-BB1B4A7A5BFC}"/>
    <cellStyle name="Normal 2 3" xfId="2" xr:uid="{D89D1E12-7FD1-4236-AF73-4494995BDAC7}"/>
    <cellStyle name="Normal 3" xfId="8" xr:uid="{6B0991CA-96AD-4146-8E3F-8844A94B393E}"/>
    <cellStyle name="Normal 3 2" xfId="4" xr:uid="{D0719FD3-06F7-4FFB-B596-CC96B8C428AA}"/>
    <cellStyle name="Normal 4" xfId="9" xr:uid="{02A5D497-CBC6-4D03-808A-081725C6125F}"/>
    <cellStyle name="Normal 5" xfId="10" xr:uid="{637AFA1E-0C0B-4255-8C1B-9B66F834247F}"/>
    <cellStyle name="Normal 6" xfId="11" xr:uid="{8A2D091B-A666-4920-8FF5-9AE2D01A33E0}"/>
    <cellStyle name="Normal 7" xfId="12" xr:uid="{B46A928C-E5B4-49B4-9400-32552D502880}"/>
    <cellStyle name="Normal 8" xfId="13" xr:uid="{D9E5FB11-8C38-4332-96EF-3F5D0F272A04}"/>
    <cellStyle name="Normal 9" xfId="16" xr:uid="{A1FB1C39-5439-444A-8CA9-492336754FA6}"/>
    <cellStyle name="ParaBirimi" xfId="1" builtinId="4"/>
    <cellStyle name="ParaBirimi 2" xfId="3" xr:uid="{3D9A23FB-4D7C-4CE8-86A6-893B840F6FE0}"/>
    <cellStyle name="ParaBirimi 3" xfId="6" xr:uid="{93AA32E6-29D0-4765-9A24-42C2F1EA7434}"/>
    <cellStyle name="ParaBirimi 3 2" xfId="15" xr:uid="{4FB43EFC-6E31-4E4B-8BF7-85A164030ACA}"/>
    <cellStyle name="Yüzde 2" xfId="5" xr:uid="{1CE3878E-4EC1-49CB-8C94-A317376EDE8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1922357</xdr:colOff>
      <xdr:row>1</xdr:row>
      <xdr:rowOff>104987</xdr:rowOff>
    </xdr:from>
    <xdr:ext cx="1051560" cy="995156"/>
    <xdr:pic>
      <xdr:nvPicPr>
        <xdr:cNvPr id="2" name="Resim 1">
          <a:extLst>
            <a:ext uri="{FF2B5EF4-FFF2-40B4-BE49-F238E27FC236}">
              <a16:creationId xmlns:a16="http://schemas.microsoft.com/office/drawing/2014/main" id="{6A082B9D-95D3-49F5-9259-F2B0F793E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076" t="11557" r="29803" b="8029"/>
        <a:stretch>
          <a:fillRect/>
        </a:stretch>
      </xdr:blipFill>
      <xdr:spPr bwMode="auto">
        <a:xfrm>
          <a:off x="9633797" y="310727"/>
          <a:ext cx="1051560" cy="9951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76815</xdr:colOff>
      <xdr:row>2</xdr:row>
      <xdr:rowOff>140805</xdr:rowOff>
    </xdr:from>
    <xdr:ext cx="2435302" cy="610842"/>
    <xdr:pic>
      <xdr:nvPicPr>
        <xdr:cNvPr id="3" name="Resim 2">
          <a:extLst>
            <a:ext uri="{FF2B5EF4-FFF2-40B4-BE49-F238E27FC236}">
              <a16:creationId xmlns:a16="http://schemas.microsoft.com/office/drawing/2014/main" id="{B9CA6484-1EDE-4D1B-B0D1-7CB2838B1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815" y="544665"/>
          <a:ext cx="2435302" cy="610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/Group/Indirect%20Procurement/PROJECT%20IP0104/In%20progress/2016/HUB/TEMPLATES/TCO%20Tool%202016%20FINAL%20v1%20fle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1. Business Requirement"/>
      <sheetName val="2. EHS  + Security Vehicle Spec"/>
      <sheetName val="3. TCO CAPEX"/>
      <sheetName val="3. TCO Opex"/>
      <sheetName val="Drop Down Lists"/>
      <sheetName val="Motorcycle Spec"/>
      <sheetName val="Vehicle Spec"/>
      <sheetName val="Light Comm Van Spec"/>
      <sheetName val="4 x 4 Vehicle"/>
      <sheetName val="a. Maintenance"/>
      <sheetName val="b. Fuel"/>
      <sheetName val="5. Core Fleet Mngmnt Reqs"/>
      <sheetName val="4. Leasing SLA"/>
      <sheetName val="5. Waiver Process"/>
      <sheetName val="6. Waiver Form"/>
      <sheetName val="Previous spec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2">
          <cell r="H2" t="str">
            <v>Standard</v>
          </cell>
        </row>
        <row r="3">
          <cell r="H3" t="str">
            <v>Not Available</v>
          </cell>
        </row>
        <row r="4">
          <cell r="H4" t="str">
            <v>Additional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961CE-7CBE-48F8-AD0D-A0739BDE979E}">
  <sheetPr>
    <pageSetUpPr fitToPage="1"/>
  </sheetPr>
  <dimension ref="A1:AD55"/>
  <sheetViews>
    <sheetView tabSelected="1" topLeftCell="A4" zoomScale="116" zoomScaleNormal="90" workbookViewId="0">
      <selection activeCell="A23" sqref="A23"/>
    </sheetView>
  </sheetViews>
  <sheetFormatPr baseColWidth="10" defaultColWidth="9.33203125" defaultRowHeight="18" x14ac:dyDescent="0.2"/>
  <cols>
    <col min="1" max="1" width="57.6640625" style="62" bestFit="1" customWidth="1"/>
    <col min="2" max="2" width="11.5" style="63" bestFit="1" customWidth="1"/>
    <col min="3" max="3" width="5.33203125" style="63" bestFit="1" customWidth="1"/>
    <col min="4" max="4" width="14.6640625" style="64" bestFit="1" customWidth="1"/>
    <col min="5" max="5" width="10.5" style="65" bestFit="1" customWidth="1"/>
    <col min="6" max="6" width="16.5" style="66" bestFit="1" customWidth="1"/>
    <col min="7" max="7" width="47.5" style="8" bestFit="1" customWidth="1"/>
    <col min="8" max="8" width="4.5" style="12" bestFit="1" customWidth="1"/>
    <col min="9" max="9" width="12" style="12" bestFit="1" customWidth="1"/>
    <col min="10" max="10" width="13.83203125" style="12" bestFit="1" customWidth="1"/>
    <col min="11" max="11" width="13.5" style="12" bestFit="1" customWidth="1"/>
    <col min="12" max="254" width="9.33203125" style="12"/>
    <col min="255" max="255" width="3.5" style="12" customWidth="1"/>
    <col min="256" max="256" width="60.6640625" style="12" customWidth="1"/>
    <col min="257" max="257" width="12.5" style="12" customWidth="1"/>
    <col min="258" max="258" width="9.5" style="12" customWidth="1"/>
    <col min="259" max="259" width="21.6640625" style="12" customWidth="1"/>
    <col min="260" max="260" width="9.33203125" style="12" customWidth="1"/>
    <col min="261" max="261" width="18.6640625" style="12" customWidth="1"/>
    <col min="262" max="262" width="53" style="12" customWidth="1"/>
    <col min="263" max="263" width="14.33203125" style="12" customWidth="1"/>
    <col min="264" max="264" width="9.33203125" style="12"/>
    <col min="265" max="265" width="12.6640625" style="12" bestFit="1" customWidth="1"/>
    <col min="266" max="510" width="9.33203125" style="12"/>
    <col min="511" max="511" width="3.5" style="12" customWidth="1"/>
    <col min="512" max="512" width="60.6640625" style="12" customWidth="1"/>
    <col min="513" max="513" width="12.5" style="12" customWidth="1"/>
    <col min="514" max="514" width="9.5" style="12" customWidth="1"/>
    <col min="515" max="515" width="21.6640625" style="12" customWidth="1"/>
    <col min="516" max="516" width="9.33203125" style="12" customWidth="1"/>
    <col min="517" max="517" width="18.6640625" style="12" customWidth="1"/>
    <col min="518" max="518" width="53" style="12" customWidth="1"/>
    <col min="519" max="519" width="14.33203125" style="12" customWidth="1"/>
    <col min="520" max="520" width="9.33203125" style="12"/>
    <col min="521" max="521" width="12.6640625" style="12" bestFit="1" customWidth="1"/>
    <col min="522" max="766" width="9.33203125" style="12"/>
    <col min="767" max="767" width="3.5" style="12" customWidth="1"/>
    <col min="768" max="768" width="60.6640625" style="12" customWidth="1"/>
    <col min="769" max="769" width="12.5" style="12" customWidth="1"/>
    <col min="770" max="770" width="9.5" style="12" customWidth="1"/>
    <col min="771" max="771" width="21.6640625" style="12" customWidth="1"/>
    <col min="772" max="772" width="9.33203125" style="12" customWidth="1"/>
    <col min="773" max="773" width="18.6640625" style="12" customWidth="1"/>
    <col min="774" max="774" width="53" style="12" customWidth="1"/>
    <col min="775" max="775" width="14.33203125" style="12" customWidth="1"/>
    <col min="776" max="776" width="9.33203125" style="12"/>
    <col min="777" max="777" width="12.6640625" style="12" bestFit="1" customWidth="1"/>
    <col min="778" max="1022" width="9.33203125" style="12"/>
    <col min="1023" max="1023" width="3.5" style="12" customWidth="1"/>
    <col min="1024" max="1024" width="60.6640625" style="12" customWidth="1"/>
    <col min="1025" max="1025" width="12.5" style="12" customWidth="1"/>
    <col min="1026" max="1026" width="9.5" style="12" customWidth="1"/>
    <col min="1027" max="1027" width="21.6640625" style="12" customWidth="1"/>
    <col min="1028" max="1028" width="9.33203125" style="12" customWidth="1"/>
    <col min="1029" max="1029" width="18.6640625" style="12" customWidth="1"/>
    <col min="1030" max="1030" width="53" style="12" customWidth="1"/>
    <col min="1031" max="1031" width="14.33203125" style="12" customWidth="1"/>
    <col min="1032" max="1032" width="9.33203125" style="12"/>
    <col min="1033" max="1033" width="12.6640625" style="12" bestFit="1" customWidth="1"/>
    <col min="1034" max="1278" width="9.33203125" style="12"/>
    <col min="1279" max="1279" width="3.5" style="12" customWidth="1"/>
    <col min="1280" max="1280" width="60.6640625" style="12" customWidth="1"/>
    <col min="1281" max="1281" width="12.5" style="12" customWidth="1"/>
    <col min="1282" max="1282" width="9.5" style="12" customWidth="1"/>
    <col min="1283" max="1283" width="21.6640625" style="12" customWidth="1"/>
    <col min="1284" max="1284" width="9.33203125" style="12" customWidth="1"/>
    <col min="1285" max="1285" width="18.6640625" style="12" customWidth="1"/>
    <col min="1286" max="1286" width="53" style="12" customWidth="1"/>
    <col min="1287" max="1287" width="14.33203125" style="12" customWidth="1"/>
    <col min="1288" max="1288" width="9.33203125" style="12"/>
    <col min="1289" max="1289" width="12.6640625" style="12" bestFit="1" customWidth="1"/>
    <col min="1290" max="1534" width="9.33203125" style="12"/>
    <col min="1535" max="1535" width="3.5" style="12" customWidth="1"/>
    <col min="1536" max="1536" width="60.6640625" style="12" customWidth="1"/>
    <col min="1537" max="1537" width="12.5" style="12" customWidth="1"/>
    <col min="1538" max="1538" width="9.5" style="12" customWidth="1"/>
    <col min="1539" max="1539" width="21.6640625" style="12" customWidth="1"/>
    <col min="1540" max="1540" width="9.33203125" style="12" customWidth="1"/>
    <col min="1541" max="1541" width="18.6640625" style="12" customWidth="1"/>
    <col min="1542" max="1542" width="53" style="12" customWidth="1"/>
    <col min="1543" max="1543" width="14.33203125" style="12" customWidth="1"/>
    <col min="1544" max="1544" width="9.33203125" style="12"/>
    <col min="1545" max="1545" width="12.6640625" style="12" bestFit="1" customWidth="1"/>
    <col min="1546" max="1790" width="9.33203125" style="12"/>
    <col min="1791" max="1791" width="3.5" style="12" customWidth="1"/>
    <col min="1792" max="1792" width="60.6640625" style="12" customWidth="1"/>
    <col min="1793" max="1793" width="12.5" style="12" customWidth="1"/>
    <col min="1794" max="1794" width="9.5" style="12" customWidth="1"/>
    <col min="1795" max="1795" width="21.6640625" style="12" customWidth="1"/>
    <col min="1796" max="1796" width="9.33203125" style="12" customWidth="1"/>
    <col min="1797" max="1797" width="18.6640625" style="12" customWidth="1"/>
    <col min="1798" max="1798" width="53" style="12" customWidth="1"/>
    <col min="1799" max="1799" width="14.33203125" style="12" customWidth="1"/>
    <col min="1800" max="1800" width="9.33203125" style="12"/>
    <col min="1801" max="1801" width="12.6640625" style="12" bestFit="1" customWidth="1"/>
    <col min="1802" max="2046" width="9.33203125" style="12"/>
    <col min="2047" max="2047" width="3.5" style="12" customWidth="1"/>
    <col min="2048" max="2048" width="60.6640625" style="12" customWidth="1"/>
    <col min="2049" max="2049" width="12.5" style="12" customWidth="1"/>
    <col min="2050" max="2050" width="9.5" style="12" customWidth="1"/>
    <col min="2051" max="2051" width="21.6640625" style="12" customWidth="1"/>
    <col min="2052" max="2052" width="9.33203125" style="12" customWidth="1"/>
    <col min="2053" max="2053" width="18.6640625" style="12" customWidth="1"/>
    <col min="2054" max="2054" width="53" style="12" customWidth="1"/>
    <col min="2055" max="2055" width="14.33203125" style="12" customWidth="1"/>
    <col min="2056" max="2056" width="9.33203125" style="12"/>
    <col min="2057" max="2057" width="12.6640625" style="12" bestFit="1" customWidth="1"/>
    <col min="2058" max="2302" width="9.33203125" style="12"/>
    <col min="2303" max="2303" width="3.5" style="12" customWidth="1"/>
    <col min="2304" max="2304" width="60.6640625" style="12" customWidth="1"/>
    <col min="2305" max="2305" width="12.5" style="12" customWidth="1"/>
    <col min="2306" max="2306" width="9.5" style="12" customWidth="1"/>
    <col min="2307" max="2307" width="21.6640625" style="12" customWidth="1"/>
    <col min="2308" max="2308" width="9.33203125" style="12" customWidth="1"/>
    <col min="2309" max="2309" width="18.6640625" style="12" customWidth="1"/>
    <col min="2310" max="2310" width="53" style="12" customWidth="1"/>
    <col min="2311" max="2311" width="14.33203125" style="12" customWidth="1"/>
    <col min="2312" max="2312" width="9.33203125" style="12"/>
    <col min="2313" max="2313" width="12.6640625" style="12" bestFit="1" customWidth="1"/>
    <col min="2314" max="2558" width="9.33203125" style="12"/>
    <col min="2559" max="2559" width="3.5" style="12" customWidth="1"/>
    <col min="2560" max="2560" width="60.6640625" style="12" customWidth="1"/>
    <col min="2561" max="2561" width="12.5" style="12" customWidth="1"/>
    <col min="2562" max="2562" width="9.5" style="12" customWidth="1"/>
    <col min="2563" max="2563" width="21.6640625" style="12" customWidth="1"/>
    <col min="2564" max="2564" width="9.33203125" style="12" customWidth="1"/>
    <col min="2565" max="2565" width="18.6640625" style="12" customWidth="1"/>
    <col min="2566" max="2566" width="53" style="12" customWidth="1"/>
    <col min="2567" max="2567" width="14.33203125" style="12" customWidth="1"/>
    <col min="2568" max="2568" width="9.33203125" style="12"/>
    <col min="2569" max="2569" width="12.6640625" style="12" bestFit="1" customWidth="1"/>
    <col min="2570" max="2814" width="9.33203125" style="12"/>
    <col min="2815" max="2815" width="3.5" style="12" customWidth="1"/>
    <col min="2816" max="2816" width="60.6640625" style="12" customWidth="1"/>
    <col min="2817" max="2817" width="12.5" style="12" customWidth="1"/>
    <col min="2818" max="2818" width="9.5" style="12" customWidth="1"/>
    <col min="2819" max="2819" width="21.6640625" style="12" customWidth="1"/>
    <col min="2820" max="2820" width="9.33203125" style="12" customWidth="1"/>
    <col min="2821" max="2821" width="18.6640625" style="12" customWidth="1"/>
    <col min="2822" max="2822" width="53" style="12" customWidth="1"/>
    <col min="2823" max="2823" width="14.33203125" style="12" customWidth="1"/>
    <col min="2824" max="2824" width="9.33203125" style="12"/>
    <col min="2825" max="2825" width="12.6640625" style="12" bestFit="1" customWidth="1"/>
    <col min="2826" max="3070" width="9.33203125" style="12"/>
    <col min="3071" max="3071" width="3.5" style="12" customWidth="1"/>
    <col min="3072" max="3072" width="60.6640625" style="12" customWidth="1"/>
    <col min="3073" max="3073" width="12.5" style="12" customWidth="1"/>
    <col min="3074" max="3074" width="9.5" style="12" customWidth="1"/>
    <col min="3075" max="3075" width="21.6640625" style="12" customWidth="1"/>
    <col min="3076" max="3076" width="9.33203125" style="12" customWidth="1"/>
    <col min="3077" max="3077" width="18.6640625" style="12" customWidth="1"/>
    <col min="3078" max="3078" width="53" style="12" customWidth="1"/>
    <col min="3079" max="3079" width="14.33203125" style="12" customWidth="1"/>
    <col min="3080" max="3080" width="9.33203125" style="12"/>
    <col min="3081" max="3081" width="12.6640625" style="12" bestFit="1" customWidth="1"/>
    <col min="3082" max="3326" width="9.33203125" style="12"/>
    <col min="3327" max="3327" width="3.5" style="12" customWidth="1"/>
    <col min="3328" max="3328" width="60.6640625" style="12" customWidth="1"/>
    <col min="3329" max="3329" width="12.5" style="12" customWidth="1"/>
    <col min="3330" max="3330" width="9.5" style="12" customWidth="1"/>
    <col min="3331" max="3331" width="21.6640625" style="12" customWidth="1"/>
    <col min="3332" max="3332" width="9.33203125" style="12" customWidth="1"/>
    <col min="3333" max="3333" width="18.6640625" style="12" customWidth="1"/>
    <col min="3334" max="3334" width="53" style="12" customWidth="1"/>
    <col min="3335" max="3335" width="14.33203125" style="12" customWidth="1"/>
    <col min="3336" max="3336" width="9.33203125" style="12"/>
    <col min="3337" max="3337" width="12.6640625" style="12" bestFit="1" customWidth="1"/>
    <col min="3338" max="3582" width="9.33203125" style="12"/>
    <col min="3583" max="3583" width="3.5" style="12" customWidth="1"/>
    <col min="3584" max="3584" width="60.6640625" style="12" customWidth="1"/>
    <col min="3585" max="3585" width="12.5" style="12" customWidth="1"/>
    <col min="3586" max="3586" width="9.5" style="12" customWidth="1"/>
    <col min="3587" max="3587" width="21.6640625" style="12" customWidth="1"/>
    <col min="3588" max="3588" width="9.33203125" style="12" customWidth="1"/>
    <col min="3589" max="3589" width="18.6640625" style="12" customWidth="1"/>
    <col min="3590" max="3590" width="53" style="12" customWidth="1"/>
    <col min="3591" max="3591" width="14.33203125" style="12" customWidth="1"/>
    <col min="3592" max="3592" width="9.33203125" style="12"/>
    <col min="3593" max="3593" width="12.6640625" style="12" bestFit="1" customWidth="1"/>
    <col min="3594" max="3838" width="9.33203125" style="12"/>
    <col min="3839" max="3839" width="3.5" style="12" customWidth="1"/>
    <col min="3840" max="3840" width="60.6640625" style="12" customWidth="1"/>
    <col min="3841" max="3841" width="12.5" style="12" customWidth="1"/>
    <col min="3842" max="3842" width="9.5" style="12" customWidth="1"/>
    <col min="3843" max="3843" width="21.6640625" style="12" customWidth="1"/>
    <col min="3844" max="3844" width="9.33203125" style="12" customWidth="1"/>
    <col min="3845" max="3845" width="18.6640625" style="12" customWidth="1"/>
    <col min="3846" max="3846" width="53" style="12" customWidth="1"/>
    <col min="3847" max="3847" width="14.33203125" style="12" customWidth="1"/>
    <col min="3848" max="3848" width="9.33203125" style="12"/>
    <col min="3849" max="3849" width="12.6640625" style="12" bestFit="1" customWidth="1"/>
    <col min="3850" max="4094" width="9.33203125" style="12"/>
    <col min="4095" max="4095" width="3.5" style="12" customWidth="1"/>
    <col min="4096" max="4096" width="60.6640625" style="12" customWidth="1"/>
    <col min="4097" max="4097" width="12.5" style="12" customWidth="1"/>
    <col min="4098" max="4098" width="9.5" style="12" customWidth="1"/>
    <col min="4099" max="4099" width="21.6640625" style="12" customWidth="1"/>
    <col min="4100" max="4100" width="9.33203125" style="12" customWidth="1"/>
    <col min="4101" max="4101" width="18.6640625" style="12" customWidth="1"/>
    <col min="4102" max="4102" width="53" style="12" customWidth="1"/>
    <col min="4103" max="4103" width="14.33203125" style="12" customWidth="1"/>
    <col min="4104" max="4104" width="9.33203125" style="12"/>
    <col min="4105" max="4105" width="12.6640625" style="12" bestFit="1" customWidth="1"/>
    <col min="4106" max="4350" width="9.33203125" style="12"/>
    <col min="4351" max="4351" width="3.5" style="12" customWidth="1"/>
    <col min="4352" max="4352" width="60.6640625" style="12" customWidth="1"/>
    <col min="4353" max="4353" width="12.5" style="12" customWidth="1"/>
    <col min="4354" max="4354" width="9.5" style="12" customWidth="1"/>
    <col min="4355" max="4355" width="21.6640625" style="12" customWidth="1"/>
    <col min="4356" max="4356" width="9.33203125" style="12" customWidth="1"/>
    <col min="4357" max="4357" width="18.6640625" style="12" customWidth="1"/>
    <col min="4358" max="4358" width="53" style="12" customWidth="1"/>
    <col min="4359" max="4359" width="14.33203125" style="12" customWidth="1"/>
    <col min="4360" max="4360" width="9.33203125" style="12"/>
    <col min="4361" max="4361" width="12.6640625" style="12" bestFit="1" customWidth="1"/>
    <col min="4362" max="4606" width="9.33203125" style="12"/>
    <col min="4607" max="4607" width="3.5" style="12" customWidth="1"/>
    <col min="4608" max="4608" width="60.6640625" style="12" customWidth="1"/>
    <col min="4609" max="4609" width="12.5" style="12" customWidth="1"/>
    <col min="4610" max="4610" width="9.5" style="12" customWidth="1"/>
    <col min="4611" max="4611" width="21.6640625" style="12" customWidth="1"/>
    <col min="4612" max="4612" width="9.33203125" style="12" customWidth="1"/>
    <col min="4613" max="4613" width="18.6640625" style="12" customWidth="1"/>
    <col min="4614" max="4614" width="53" style="12" customWidth="1"/>
    <col min="4615" max="4615" width="14.33203125" style="12" customWidth="1"/>
    <col min="4616" max="4616" width="9.33203125" style="12"/>
    <col min="4617" max="4617" width="12.6640625" style="12" bestFit="1" customWidth="1"/>
    <col min="4618" max="4862" width="9.33203125" style="12"/>
    <col min="4863" max="4863" width="3.5" style="12" customWidth="1"/>
    <col min="4864" max="4864" width="60.6640625" style="12" customWidth="1"/>
    <col min="4865" max="4865" width="12.5" style="12" customWidth="1"/>
    <col min="4866" max="4866" width="9.5" style="12" customWidth="1"/>
    <col min="4867" max="4867" width="21.6640625" style="12" customWidth="1"/>
    <col min="4868" max="4868" width="9.33203125" style="12" customWidth="1"/>
    <col min="4869" max="4869" width="18.6640625" style="12" customWidth="1"/>
    <col min="4870" max="4870" width="53" style="12" customWidth="1"/>
    <col min="4871" max="4871" width="14.33203125" style="12" customWidth="1"/>
    <col min="4872" max="4872" width="9.33203125" style="12"/>
    <col min="4873" max="4873" width="12.6640625" style="12" bestFit="1" customWidth="1"/>
    <col min="4874" max="5118" width="9.33203125" style="12"/>
    <col min="5119" max="5119" width="3.5" style="12" customWidth="1"/>
    <col min="5120" max="5120" width="60.6640625" style="12" customWidth="1"/>
    <col min="5121" max="5121" width="12.5" style="12" customWidth="1"/>
    <col min="5122" max="5122" width="9.5" style="12" customWidth="1"/>
    <col min="5123" max="5123" width="21.6640625" style="12" customWidth="1"/>
    <col min="5124" max="5124" width="9.33203125" style="12" customWidth="1"/>
    <col min="5125" max="5125" width="18.6640625" style="12" customWidth="1"/>
    <col min="5126" max="5126" width="53" style="12" customWidth="1"/>
    <col min="5127" max="5127" width="14.33203125" style="12" customWidth="1"/>
    <col min="5128" max="5128" width="9.33203125" style="12"/>
    <col min="5129" max="5129" width="12.6640625" style="12" bestFit="1" customWidth="1"/>
    <col min="5130" max="5374" width="9.33203125" style="12"/>
    <col min="5375" max="5375" width="3.5" style="12" customWidth="1"/>
    <col min="5376" max="5376" width="60.6640625" style="12" customWidth="1"/>
    <col min="5377" max="5377" width="12.5" style="12" customWidth="1"/>
    <col min="5378" max="5378" width="9.5" style="12" customWidth="1"/>
    <col min="5379" max="5379" width="21.6640625" style="12" customWidth="1"/>
    <col min="5380" max="5380" width="9.33203125" style="12" customWidth="1"/>
    <col min="5381" max="5381" width="18.6640625" style="12" customWidth="1"/>
    <col min="5382" max="5382" width="53" style="12" customWidth="1"/>
    <col min="5383" max="5383" width="14.33203125" style="12" customWidth="1"/>
    <col min="5384" max="5384" width="9.33203125" style="12"/>
    <col min="5385" max="5385" width="12.6640625" style="12" bestFit="1" customWidth="1"/>
    <col min="5386" max="5630" width="9.33203125" style="12"/>
    <col min="5631" max="5631" width="3.5" style="12" customWidth="1"/>
    <col min="5632" max="5632" width="60.6640625" style="12" customWidth="1"/>
    <col min="5633" max="5633" width="12.5" style="12" customWidth="1"/>
    <col min="5634" max="5634" width="9.5" style="12" customWidth="1"/>
    <col min="5635" max="5635" width="21.6640625" style="12" customWidth="1"/>
    <col min="5636" max="5636" width="9.33203125" style="12" customWidth="1"/>
    <col min="5637" max="5637" width="18.6640625" style="12" customWidth="1"/>
    <col min="5638" max="5638" width="53" style="12" customWidth="1"/>
    <col min="5639" max="5639" width="14.33203125" style="12" customWidth="1"/>
    <col min="5640" max="5640" width="9.33203125" style="12"/>
    <col min="5641" max="5641" width="12.6640625" style="12" bestFit="1" customWidth="1"/>
    <col min="5642" max="5886" width="9.33203125" style="12"/>
    <col min="5887" max="5887" width="3.5" style="12" customWidth="1"/>
    <col min="5888" max="5888" width="60.6640625" style="12" customWidth="1"/>
    <col min="5889" max="5889" width="12.5" style="12" customWidth="1"/>
    <col min="5890" max="5890" width="9.5" style="12" customWidth="1"/>
    <col min="5891" max="5891" width="21.6640625" style="12" customWidth="1"/>
    <col min="5892" max="5892" width="9.33203125" style="12" customWidth="1"/>
    <col min="5893" max="5893" width="18.6640625" style="12" customWidth="1"/>
    <col min="5894" max="5894" width="53" style="12" customWidth="1"/>
    <col min="5895" max="5895" width="14.33203125" style="12" customWidth="1"/>
    <col min="5896" max="5896" width="9.33203125" style="12"/>
    <col min="5897" max="5897" width="12.6640625" style="12" bestFit="1" customWidth="1"/>
    <col min="5898" max="6142" width="9.33203125" style="12"/>
    <col min="6143" max="6143" width="3.5" style="12" customWidth="1"/>
    <col min="6144" max="6144" width="60.6640625" style="12" customWidth="1"/>
    <col min="6145" max="6145" width="12.5" style="12" customWidth="1"/>
    <col min="6146" max="6146" width="9.5" style="12" customWidth="1"/>
    <col min="6147" max="6147" width="21.6640625" style="12" customWidth="1"/>
    <col min="6148" max="6148" width="9.33203125" style="12" customWidth="1"/>
    <col min="6149" max="6149" width="18.6640625" style="12" customWidth="1"/>
    <col min="6150" max="6150" width="53" style="12" customWidth="1"/>
    <col min="6151" max="6151" width="14.33203125" style="12" customWidth="1"/>
    <col min="6152" max="6152" width="9.33203125" style="12"/>
    <col min="6153" max="6153" width="12.6640625" style="12" bestFit="1" customWidth="1"/>
    <col min="6154" max="6398" width="9.33203125" style="12"/>
    <col min="6399" max="6399" width="3.5" style="12" customWidth="1"/>
    <col min="6400" max="6400" width="60.6640625" style="12" customWidth="1"/>
    <col min="6401" max="6401" width="12.5" style="12" customWidth="1"/>
    <col min="6402" max="6402" width="9.5" style="12" customWidth="1"/>
    <col min="6403" max="6403" width="21.6640625" style="12" customWidth="1"/>
    <col min="6404" max="6404" width="9.33203125" style="12" customWidth="1"/>
    <col min="6405" max="6405" width="18.6640625" style="12" customWidth="1"/>
    <col min="6406" max="6406" width="53" style="12" customWidth="1"/>
    <col min="6407" max="6407" width="14.33203125" style="12" customWidth="1"/>
    <col min="6408" max="6408" width="9.33203125" style="12"/>
    <col min="6409" max="6409" width="12.6640625" style="12" bestFit="1" customWidth="1"/>
    <col min="6410" max="6654" width="9.33203125" style="12"/>
    <col min="6655" max="6655" width="3.5" style="12" customWidth="1"/>
    <col min="6656" max="6656" width="60.6640625" style="12" customWidth="1"/>
    <col min="6657" max="6657" width="12.5" style="12" customWidth="1"/>
    <col min="6658" max="6658" width="9.5" style="12" customWidth="1"/>
    <col min="6659" max="6659" width="21.6640625" style="12" customWidth="1"/>
    <col min="6660" max="6660" width="9.33203125" style="12" customWidth="1"/>
    <col min="6661" max="6661" width="18.6640625" style="12" customWidth="1"/>
    <col min="6662" max="6662" width="53" style="12" customWidth="1"/>
    <col min="6663" max="6663" width="14.33203125" style="12" customWidth="1"/>
    <col min="6664" max="6664" width="9.33203125" style="12"/>
    <col min="6665" max="6665" width="12.6640625" style="12" bestFit="1" customWidth="1"/>
    <col min="6666" max="6910" width="9.33203125" style="12"/>
    <col min="6911" max="6911" width="3.5" style="12" customWidth="1"/>
    <col min="6912" max="6912" width="60.6640625" style="12" customWidth="1"/>
    <col min="6913" max="6913" width="12.5" style="12" customWidth="1"/>
    <col min="6914" max="6914" width="9.5" style="12" customWidth="1"/>
    <col min="6915" max="6915" width="21.6640625" style="12" customWidth="1"/>
    <col min="6916" max="6916" width="9.33203125" style="12" customWidth="1"/>
    <col min="6917" max="6917" width="18.6640625" style="12" customWidth="1"/>
    <col min="6918" max="6918" width="53" style="12" customWidth="1"/>
    <col min="6919" max="6919" width="14.33203125" style="12" customWidth="1"/>
    <col min="6920" max="6920" width="9.33203125" style="12"/>
    <col min="6921" max="6921" width="12.6640625" style="12" bestFit="1" customWidth="1"/>
    <col min="6922" max="7166" width="9.33203125" style="12"/>
    <col min="7167" max="7167" width="3.5" style="12" customWidth="1"/>
    <col min="7168" max="7168" width="60.6640625" style="12" customWidth="1"/>
    <col min="7169" max="7169" width="12.5" style="12" customWidth="1"/>
    <col min="7170" max="7170" width="9.5" style="12" customWidth="1"/>
    <col min="7171" max="7171" width="21.6640625" style="12" customWidth="1"/>
    <col min="7172" max="7172" width="9.33203125" style="12" customWidth="1"/>
    <col min="7173" max="7173" width="18.6640625" style="12" customWidth="1"/>
    <col min="7174" max="7174" width="53" style="12" customWidth="1"/>
    <col min="7175" max="7175" width="14.33203125" style="12" customWidth="1"/>
    <col min="7176" max="7176" width="9.33203125" style="12"/>
    <col min="7177" max="7177" width="12.6640625" style="12" bestFit="1" customWidth="1"/>
    <col min="7178" max="7422" width="9.33203125" style="12"/>
    <col min="7423" max="7423" width="3.5" style="12" customWidth="1"/>
    <col min="7424" max="7424" width="60.6640625" style="12" customWidth="1"/>
    <col min="7425" max="7425" width="12.5" style="12" customWidth="1"/>
    <col min="7426" max="7426" width="9.5" style="12" customWidth="1"/>
    <col min="7427" max="7427" width="21.6640625" style="12" customWidth="1"/>
    <col min="7428" max="7428" width="9.33203125" style="12" customWidth="1"/>
    <col min="7429" max="7429" width="18.6640625" style="12" customWidth="1"/>
    <col min="7430" max="7430" width="53" style="12" customWidth="1"/>
    <col min="7431" max="7431" width="14.33203125" style="12" customWidth="1"/>
    <col min="7432" max="7432" width="9.33203125" style="12"/>
    <col min="7433" max="7433" width="12.6640625" style="12" bestFit="1" customWidth="1"/>
    <col min="7434" max="7678" width="9.33203125" style="12"/>
    <col min="7679" max="7679" width="3.5" style="12" customWidth="1"/>
    <col min="7680" max="7680" width="60.6640625" style="12" customWidth="1"/>
    <col min="7681" max="7681" width="12.5" style="12" customWidth="1"/>
    <col min="7682" max="7682" width="9.5" style="12" customWidth="1"/>
    <col min="7683" max="7683" width="21.6640625" style="12" customWidth="1"/>
    <col min="7684" max="7684" width="9.33203125" style="12" customWidth="1"/>
    <col min="7685" max="7685" width="18.6640625" style="12" customWidth="1"/>
    <col min="7686" max="7686" width="53" style="12" customWidth="1"/>
    <col min="7687" max="7687" width="14.33203125" style="12" customWidth="1"/>
    <col min="7688" max="7688" width="9.33203125" style="12"/>
    <col min="7689" max="7689" width="12.6640625" style="12" bestFit="1" customWidth="1"/>
    <col min="7690" max="7934" width="9.33203125" style="12"/>
    <col min="7935" max="7935" width="3.5" style="12" customWidth="1"/>
    <col min="7936" max="7936" width="60.6640625" style="12" customWidth="1"/>
    <col min="7937" max="7937" width="12.5" style="12" customWidth="1"/>
    <col min="7938" max="7938" width="9.5" style="12" customWidth="1"/>
    <col min="7939" max="7939" width="21.6640625" style="12" customWidth="1"/>
    <col min="7940" max="7940" width="9.33203125" style="12" customWidth="1"/>
    <col min="7941" max="7941" width="18.6640625" style="12" customWidth="1"/>
    <col min="7942" max="7942" width="53" style="12" customWidth="1"/>
    <col min="7943" max="7943" width="14.33203125" style="12" customWidth="1"/>
    <col min="7944" max="7944" width="9.33203125" style="12"/>
    <col min="7945" max="7945" width="12.6640625" style="12" bestFit="1" customWidth="1"/>
    <col min="7946" max="8190" width="9.33203125" style="12"/>
    <col min="8191" max="8191" width="3.5" style="12" customWidth="1"/>
    <col min="8192" max="8192" width="60.6640625" style="12" customWidth="1"/>
    <col min="8193" max="8193" width="12.5" style="12" customWidth="1"/>
    <col min="8194" max="8194" width="9.5" style="12" customWidth="1"/>
    <col min="8195" max="8195" width="21.6640625" style="12" customWidth="1"/>
    <col min="8196" max="8196" width="9.33203125" style="12" customWidth="1"/>
    <col min="8197" max="8197" width="18.6640625" style="12" customWidth="1"/>
    <col min="8198" max="8198" width="53" style="12" customWidth="1"/>
    <col min="8199" max="8199" width="14.33203125" style="12" customWidth="1"/>
    <col min="8200" max="8200" width="9.33203125" style="12"/>
    <col min="8201" max="8201" width="12.6640625" style="12" bestFit="1" customWidth="1"/>
    <col min="8202" max="8446" width="9.33203125" style="12"/>
    <col min="8447" max="8447" width="3.5" style="12" customWidth="1"/>
    <col min="8448" max="8448" width="60.6640625" style="12" customWidth="1"/>
    <col min="8449" max="8449" width="12.5" style="12" customWidth="1"/>
    <col min="8450" max="8450" width="9.5" style="12" customWidth="1"/>
    <col min="8451" max="8451" width="21.6640625" style="12" customWidth="1"/>
    <col min="8452" max="8452" width="9.33203125" style="12" customWidth="1"/>
    <col min="8453" max="8453" width="18.6640625" style="12" customWidth="1"/>
    <col min="8454" max="8454" width="53" style="12" customWidth="1"/>
    <col min="8455" max="8455" width="14.33203125" style="12" customWidth="1"/>
    <col min="8456" max="8456" width="9.33203125" style="12"/>
    <col min="8457" max="8457" width="12.6640625" style="12" bestFit="1" customWidth="1"/>
    <col min="8458" max="8702" width="9.33203125" style="12"/>
    <col min="8703" max="8703" width="3.5" style="12" customWidth="1"/>
    <col min="8704" max="8704" width="60.6640625" style="12" customWidth="1"/>
    <col min="8705" max="8705" width="12.5" style="12" customWidth="1"/>
    <col min="8706" max="8706" width="9.5" style="12" customWidth="1"/>
    <col min="8707" max="8707" width="21.6640625" style="12" customWidth="1"/>
    <col min="8708" max="8708" width="9.33203125" style="12" customWidth="1"/>
    <col min="8709" max="8709" width="18.6640625" style="12" customWidth="1"/>
    <col min="8710" max="8710" width="53" style="12" customWidth="1"/>
    <col min="8711" max="8711" width="14.33203125" style="12" customWidth="1"/>
    <col min="8712" max="8712" width="9.33203125" style="12"/>
    <col min="8713" max="8713" width="12.6640625" style="12" bestFit="1" customWidth="1"/>
    <col min="8714" max="8958" width="9.33203125" style="12"/>
    <col min="8959" max="8959" width="3.5" style="12" customWidth="1"/>
    <col min="8960" max="8960" width="60.6640625" style="12" customWidth="1"/>
    <col min="8961" max="8961" width="12.5" style="12" customWidth="1"/>
    <col min="8962" max="8962" width="9.5" style="12" customWidth="1"/>
    <col min="8963" max="8963" width="21.6640625" style="12" customWidth="1"/>
    <col min="8964" max="8964" width="9.33203125" style="12" customWidth="1"/>
    <col min="8965" max="8965" width="18.6640625" style="12" customWidth="1"/>
    <col min="8966" max="8966" width="53" style="12" customWidth="1"/>
    <col min="8967" max="8967" width="14.33203125" style="12" customWidth="1"/>
    <col min="8968" max="8968" width="9.33203125" style="12"/>
    <col min="8969" max="8969" width="12.6640625" style="12" bestFit="1" customWidth="1"/>
    <col min="8970" max="9214" width="9.33203125" style="12"/>
    <col min="9215" max="9215" width="3.5" style="12" customWidth="1"/>
    <col min="9216" max="9216" width="60.6640625" style="12" customWidth="1"/>
    <col min="9217" max="9217" width="12.5" style="12" customWidth="1"/>
    <col min="9218" max="9218" width="9.5" style="12" customWidth="1"/>
    <col min="9219" max="9219" width="21.6640625" style="12" customWidth="1"/>
    <col min="9220" max="9220" width="9.33203125" style="12" customWidth="1"/>
    <col min="9221" max="9221" width="18.6640625" style="12" customWidth="1"/>
    <col min="9222" max="9222" width="53" style="12" customWidth="1"/>
    <col min="9223" max="9223" width="14.33203125" style="12" customWidth="1"/>
    <col min="9224" max="9224" width="9.33203125" style="12"/>
    <col min="9225" max="9225" width="12.6640625" style="12" bestFit="1" customWidth="1"/>
    <col min="9226" max="9470" width="9.33203125" style="12"/>
    <col min="9471" max="9471" width="3.5" style="12" customWidth="1"/>
    <col min="9472" max="9472" width="60.6640625" style="12" customWidth="1"/>
    <col min="9473" max="9473" width="12.5" style="12" customWidth="1"/>
    <col min="9474" max="9474" width="9.5" style="12" customWidth="1"/>
    <col min="9475" max="9475" width="21.6640625" style="12" customWidth="1"/>
    <col min="9476" max="9476" width="9.33203125" style="12" customWidth="1"/>
    <col min="9477" max="9477" width="18.6640625" style="12" customWidth="1"/>
    <col min="9478" max="9478" width="53" style="12" customWidth="1"/>
    <col min="9479" max="9479" width="14.33203125" style="12" customWidth="1"/>
    <col min="9480" max="9480" width="9.33203125" style="12"/>
    <col min="9481" max="9481" width="12.6640625" style="12" bestFit="1" customWidth="1"/>
    <col min="9482" max="9726" width="9.33203125" style="12"/>
    <col min="9727" max="9727" width="3.5" style="12" customWidth="1"/>
    <col min="9728" max="9728" width="60.6640625" style="12" customWidth="1"/>
    <col min="9729" max="9729" width="12.5" style="12" customWidth="1"/>
    <col min="9730" max="9730" width="9.5" style="12" customWidth="1"/>
    <col min="9731" max="9731" width="21.6640625" style="12" customWidth="1"/>
    <col min="9732" max="9732" width="9.33203125" style="12" customWidth="1"/>
    <col min="9733" max="9733" width="18.6640625" style="12" customWidth="1"/>
    <col min="9734" max="9734" width="53" style="12" customWidth="1"/>
    <col min="9735" max="9735" width="14.33203125" style="12" customWidth="1"/>
    <col min="9736" max="9736" width="9.33203125" style="12"/>
    <col min="9737" max="9737" width="12.6640625" style="12" bestFit="1" customWidth="1"/>
    <col min="9738" max="9982" width="9.33203125" style="12"/>
    <col min="9983" max="9983" width="3.5" style="12" customWidth="1"/>
    <col min="9984" max="9984" width="60.6640625" style="12" customWidth="1"/>
    <col min="9985" max="9985" width="12.5" style="12" customWidth="1"/>
    <col min="9986" max="9986" width="9.5" style="12" customWidth="1"/>
    <col min="9987" max="9987" width="21.6640625" style="12" customWidth="1"/>
    <col min="9988" max="9988" width="9.33203125" style="12" customWidth="1"/>
    <col min="9989" max="9989" width="18.6640625" style="12" customWidth="1"/>
    <col min="9990" max="9990" width="53" style="12" customWidth="1"/>
    <col min="9991" max="9991" width="14.33203125" style="12" customWidth="1"/>
    <col min="9992" max="9992" width="9.33203125" style="12"/>
    <col min="9993" max="9993" width="12.6640625" style="12" bestFit="1" customWidth="1"/>
    <col min="9994" max="10238" width="9.33203125" style="12"/>
    <col min="10239" max="10239" width="3.5" style="12" customWidth="1"/>
    <col min="10240" max="10240" width="60.6640625" style="12" customWidth="1"/>
    <col min="10241" max="10241" width="12.5" style="12" customWidth="1"/>
    <col min="10242" max="10242" width="9.5" style="12" customWidth="1"/>
    <col min="10243" max="10243" width="21.6640625" style="12" customWidth="1"/>
    <col min="10244" max="10244" width="9.33203125" style="12" customWidth="1"/>
    <col min="10245" max="10245" width="18.6640625" style="12" customWidth="1"/>
    <col min="10246" max="10246" width="53" style="12" customWidth="1"/>
    <col min="10247" max="10247" width="14.33203125" style="12" customWidth="1"/>
    <col min="10248" max="10248" width="9.33203125" style="12"/>
    <col min="10249" max="10249" width="12.6640625" style="12" bestFit="1" customWidth="1"/>
    <col min="10250" max="10494" width="9.33203125" style="12"/>
    <col min="10495" max="10495" width="3.5" style="12" customWidth="1"/>
    <col min="10496" max="10496" width="60.6640625" style="12" customWidth="1"/>
    <col min="10497" max="10497" width="12.5" style="12" customWidth="1"/>
    <col min="10498" max="10498" width="9.5" style="12" customWidth="1"/>
    <col min="10499" max="10499" width="21.6640625" style="12" customWidth="1"/>
    <col min="10500" max="10500" width="9.33203125" style="12" customWidth="1"/>
    <col min="10501" max="10501" width="18.6640625" style="12" customWidth="1"/>
    <col min="10502" max="10502" width="53" style="12" customWidth="1"/>
    <col min="10503" max="10503" width="14.33203125" style="12" customWidth="1"/>
    <col min="10504" max="10504" width="9.33203125" style="12"/>
    <col min="10505" max="10505" width="12.6640625" style="12" bestFit="1" customWidth="1"/>
    <col min="10506" max="10750" width="9.33203125" style="12"/>
    <col min="10751" max="10751" width="3.5" style="12" customWidth="1"/>
    <col min="10752" max="10752" width="60.6640625" style="12" customWidth="1"/>
    <col min="10753" max="10753" width="12.5" style="12" customWidth="1"/>
    <col min="10754" max="10754" width="9.5" style="12" customWidth="1"/>
    <col min="10755" max="10755" width="21.6640625" style="12" customWidth="1"/>
    <col min="10756" max="10756" width="9.33203125" style="12" customWidth="1"/>
    <col min="10757" max="10757" width="18.6640625" style="12" customWidth="1"/>
    <col min="10758" max="10758" width="53" style="12" customWidth="1"/>
    <col min="10759" max="10759" width="14.33203125" style="12" customWidth="1"/>
    <col min="10760" max="10760" width="9.33203125" style="12"/>
    <col min="10761" max="10761" width="12.6640625" style="12" bestFit="1" customWidth="1"/>
    <col min="10762" max="11006" width="9.33203125" style="12"/>
    <col min="11007" max="11007" width="3.5" style="12" customWidth="1"/>
    <col min="11008" max="11008" width="60.6640625" style="12" customWidth="1"/>
    <col min="11009" max="11009" width="12.5" style="12" customWidth="1"/>
    <col min="11010" max="11010" width="9.5" style="12" customWidth="1"/>
    <col min="11011" max="11011" width="21.6640625" style="12" customWidth="1"/>
    <col min="11012" max="11012" width="9.33203125" style="12" customWidth="1"/>
    <col min="11013" max="11013" width="18.6640625" style="12" customWidth="1"/>
    <col min="11014" max="11014" width="53" style="12" customWidth="1"/>
    <col min="11015" max="11015" width="14.33203125" style="12" customWidth="1"/>
    <col min="11016" max="11016" width="9.33203125" style="12"/>
    <col min="11017" max="11017" width="12.6640625" style="12" bestFit="1" customWidth="1"/>
    <col min="11018" max="11262" width="9.33203125" style="12"/>
    <col min="11263" max="11263" width="3.5" style="12" customWidth="1"/>
    <col min="11264" max="11264" width="60.6640625" style="12" customWidth="1"/>
    <col min="11265" max="11265" width="12.5" style="12" customWidth="1"/>
    <col min="11266" max="11266" width="9.5" style="12" customWidth="1"/>
    <col min="11267" max="11267" width="21.6640625" style="12" customWidth="1"/>
    <col min="11268" max="11268" width="9.33203125" style="12" customWidth="1"/>
    <col min="11269" max="11269" width="18.6640625" style="12" customWidth="1"/>
    <col min="11270" max="11270" width="53" style="12" customWidth="1"/>
    <col min="11271" max="11271" width="14.33203125" style="12" customWidth="1"/>
    <col min="11272" max="11272" width="9.33203125" style="12"/>
    <col min="11273" max="11273" width="12.6640625" style="12" bestFit="1" customWidth="1"/>
    <col min="11274" max="11518" width="9.33203125" style="12"/>
    <col min="11519" max="11519" width="3.5" style="12" customWidth="1"/>
    <col min="11520" max="11520" width="60.6640625" style="12" customWidth="1"/>
    <col min="11521" max="11521" width="12.5" style="12" customWidth="1"/>
    <col min="11522" max="11522" width="9.5" style="12" customWidth="1"/>
    <col min="11523" max="11523" width="21.6640625" style="12" customWidth="1"/>
    <col min="11524" max="11524" width="9.33203125" style="12" customWidth="1"/>
    <col min="11525" max="11525" width="18.6640625" style="12" customWidth="1"/>
    <col min="11526" max="11526" width="53" style="12" customWidth="1"/>
    <col min="11527" max="11527" width="14.33203125" style="12" customWidth="1"/>
    <col min="11528" max="11528" width="9.33203125" style="12"/>
    <col min="11529" max="11529" width="12.6640625" style="12" bestFit="1" customWidth="1"/>
    <col min="11530" max="11774" width="9.33203125" style="12"/>
    <col min="11775" max="11775" width="3.5" style="12" customWidth="1"/>
    <col min="11776" max="11776" width="60.6640625" style="12" customWidth="1"/>
    <col min="11777" max="11777" width="12.5" style="12" customWidth="1"/>
    <col min="11778" max="11778" width="9.5" style="12" customWidth="1"/>
    <col min="11779" max="11779" width="21.6640625" style="12" customWidth="1"/>
    <col min="11780" max="11780" width="9.33203125" style="12" customWidth="1"/>
    <col min="11781" max="11781" width="18.6640625" style="12" customWidth="1"/>
    <col min="11782" max="11782" width="53" style="12" customWidth="1"/>
    <col min="11783" max="11783" width="14.33203125" style="12" customWidth="1"/>
    <col min="11784" max="11784" width="9.33203125" style="12"/>
    <col min="11785" max="11785" width="12.6640625" style="12" bestFit="1" customWidth="1"/>
    <col min="11786" max="12030" width="9.33203125" style="12"/>
    <col min="12031" max="12031" width="3.5" style="12" customWidth="1"/>
    <col min="12032" max="12032" width="60.6640625" style="12" customWidth="1"/>
    <col min="12033" max="12033" width="12.5" style="12" customWidth="1"/>
    <col min="12034" max="12034" width="9.5" style="12" customWidth="1"/>
    <col min="12035" max="12035" width="21.6640625" style="12" customWidth="1"/>
    <col min="12036" max="12036" width="9.33203125" style="12" customWidth="1"/>
    <col min="12037" max="12037" width="18.6640625" style="12" customWidth="1"/>
    <col min="12038" max="12038" width="53" style="12" customWidth="1"/>
    <col min="12039" max="12039" width="14.33203125" style="12" customWidth="1"/>
    <col min="12040" max="12040" width="9.33203125" style="12"/>
    <col min="12041" max="12041" width="12.6640625" style="12" bestFit="1" customWidth="1"/>
    <col min="12042" max="12286" width="9.33203125" style="12"/>
    <col min="12287" max="12287" width="3.5" style="12" customWidth="1"/>
    <col min="12288" max="12288" width="60.6640625" style="12" customWidth="1"/>
    <col min="12289" max="12289" width="12.5" style="12" customWidth="1"/>
    <col min="12290" max="12290" width="9.5" style="12" customWidth="1"/>
    <col min="12291" max="12291" width="21.6640625" style="12" customWidth="1"/>
    <col min="12292" max="12292" width="9.33203125" style="12" customWidth="1"/>
    <col min="12293" max="12293" width="18.6640625" style="12" customWidth="1"/>
    <col min="12294" max="12294" width="53" style="12" customWidth="1"/>
    <col min="12295" max="12295" width="14.33203125" style="12" customWidth="1"/>
    <col min="12296" max="12296" width="9.33203125" style="12"/>
    <col min="12297" max="12297" width="12.6640625" style="12" bestFit="1" customWidth="1"/>
    <col min="12298" max="12542" width="9.33203125" style="12"/>
    <col min="12543" max="12543" width="3.5" style="12" customWidth="1"/>
    <col min="12544" max="12544" width="60.6640625" style="12" customWidth="1"/>
    <col min="12545" max="12545" width="12.5" style="12" customWidth="1"/>
    <col min="12546" max="12546" width="9.5" style="12" customWidth="1"/>
    <col min="12547" max="12547" width="21.6640625" style="12" customWidth="1"/>
    <col min="12548" max="12548" width="9.33203125" style="12" customWidth="1"/>
    <col min="12549" max="12549" width="18.6640625" style="12" customWidth="1"/>
    <col min="12550" max="12550" width="53" style="12" customWidth="1"/>
    <col min="12551" max="12551" width="14.33203125" style="12" customWidth="1"/>
    <col min="12552" max="12552" width="9.33203125" style="12"/>
    <col min="12553" max="12553" width="12.6640625" style="12" bestFit="1" customWidth="1"/>
    <col min="12554" max="12798" width="9.33203125" style="12"/>
    <col min="12799" max="12799" width="3.5" style="12" customWidth="1"/>
    <col min="12800" max="12800" width="60.6640625" style="12" customWidth="1"/>
    <col min="12801" max="12801" width="12.5" style="12" customWidth="1"/>
    <col min="12802" max="12802" width="9.5" style="12" customWidth="1"/>
    <col min="12803" max="12803" width="21.6640625" style="12" customWidth="1"/>
    <col min="12804" max="12804" width="9.33203125" style="12" customWidth="1"/>
    <col min="12805" max="12805" width="18.6640625" style="12" customWidth="1"/>
    <col min="12806" max="12806" width="53" style="12" customWidth="1"/>
    <col min="12807" max="12807" width="14.33203125" style="12" customWidth="1"/>
    <col min="12808" max="12808" width="9.33203125" style="12"/>
    <col min="12809" max="12809" width="12.6640625" style="12" bestFit="1" customWidth="1"/>
    <col min="12810" max="13054" width="9.33203125" style="12"/>
    <col min="13055" max="13055" width="3.5" style="12" customWidth="1"/>
    <col min="13056" max="13056" width="60.6640625" style="12" customWidth="1"/>
    <col min="13057" max="13057" width="12.5" style="12" customWidth="1"/>
    <col min="13058" max="13058" width="9.5" style="12" customWidth="1"/>
    <col min="13059" max="13059" width="21.6640625" style="12" customWidth="1"/>
    <col min="13060" max="13060" width="9.33203125" style="12" customWidth="1"/>
    <col min="13061" max="13061" width="18.6640625" style="12" customWidth="1"/>
    <col min="13062" max="13062" width="53" style="12" customWidth="1"/>
    <col min="13063" max="13063" width="14.33203125" style="12" customWidth="1"/>
    <col min="13064" max="13064" width="9.33203125" style="12"/>
    <col min="13065" max="13065" width="12.6640625" style="12" bestFit="1" customWidth="1"/>
    <col min="13066" max="13310" width="9.33203125" style="12"/>
    <col min="13311" max="13311" width="3.5" style="12" customWidth="1"/>
    <col min="13312" max="13312" width="60.6640625" style="12" customWidth="1"/>
    <col min="13313" max="13313" width="12.5" style="12" customWidth="1"/>
    <col min="13314" max="13314" width="9.5" style="12" customWidth="1"/>
    <col min="13315" max="13315" width="21.6640625" style="12" customWidth="1"/>
    <col min="13316" max="13316" width="9.33203125" style="12" customWidth="1"/>
    <col min="13317" max="13317" width="18.6640625" style="12" customWidth="1"/>
    <col min="13318" max="13318" width="53" style="12" customWidth="1"/>
    <col min="13319" max="13319" width="14.33203125" style="12" customWidth="1"/>
    <col min="13320" max="13320" width="9.33203125" style="12"/>
    <col min="13321" max="13321" width="12.6640625" style="12" bestFit="1" customWidth="1"/>
    <col min="13322" max="13566" width="9.33203125" style="12"/>
    <col min="13567" max="13567" width="3.5" style="12" customWidth="1"/>
    <col min="13568" max="13568" width="60.6640625" style="12" customWidth="1"/>
    <col min="13569" max="13569" width="12.5" style="12" customWidth="1"/>
    <col min="13570" max="13570" width="9.5" style="12" customWidth="1"/>
    <col min="13571" max="13571" width="21.6640625" style="12" customWidth="1"/>
    <col min="13572" max="13572" width="9.33203125" style="12" customWidth="1"/>
    <col min="13573" max="13573" width="18.6640625" style="12" customWidth="1"/>
    <col min="13574" max="13574" width="53" style="12" customWidth="1"/>
    <col min="13575" max="13575" width="14.33203125" style="12" customWidth="1"/>
    <col min="13576" max="13576" width="9.33203125" style="12"/>
    <col min="13577" max="13577" width="12.6640625" style="12" bestFit="1" customWidth="1"/>
    <col min="13578" max="13822" width="9.33203125" style="12"/>
    <col min="13823" max="13823" width="3.5" style="12" customWidth="1"/>
    <col min="13824" max="13824" width="60.6640625" style="12" customWidth="1"/>
    <col min="13825" max="13825" width="12.5" style="12" customWidth="1"/>
    <col min="13826" max="13826" width="9.5" style="12" customWidth="1"/>
    <col min="13827" max="13827" width="21.6640625" style="12" customWidth="1"/>
    <col min="13828" max="13828" width="9.33203125" style="12" customWidth="1"/>
    <col min="13829" max="13829" width="18.6640625" style="12" customWidth="1"/>
    <col min="13830" max="13830" width="53" style="12" customWidth="1"/>
    <col min="13831" max="13831" width="14.33203125" style="12" customWidth="1"/>
    <col min="13832" max="13832" width="9.33203125" style="12"/>
    <col min="13833" max="13833" width="12.6640625" style="12" bestFit="1" customWidth="1"/>
    <col min="13834" max="14078" width="9.33203125" style="12"/>
    <col min="14079" max="14079" width="3.5" style="12" customWidth="1"/>
    <col min="14080" max="14080" width="60.6640625" style="12" customWidth="1"/>
    <col min="14081" max="14081" width="12.5" style="12" customWidth="1"/>
    <col min="14082" max="14082" width="9.5" style="12" customWidth="1"/>
    <col min="14083" max="14083" width="21.6640625" style="12" customWidth="1"/>
    <col min="14084" max="14084" width="9.33203125" style="12" customWidth="1"/>
    <col min="14085" max="14085" width="18.6640625" style="12" customWidth="1"/>
    <col min="14086" max="14086" width="53" style="12" customWidth="1"/>
    <col min="14087" max="14087" width="14.33203125" style="12" customWidth="1"/>
    <col min="14088" max="14088" width="9.33203125" style="12"/>
    <col min="14089" max="14089" width="12.6640625" style="12" bestFit="1" customWidth="1"/>
    <col min="14090" max="14334" width="9.33203125" style="12"/>
    <col min="14335" max="14335" width="3.5" style="12" customWidth="1"/>
    <col min="14336" max="14336" width="60.6640625" style="12" customWidth="1"/>
    <col min="14337" max="14337" width="12.5" style="12" customWidth="1"/>
    <col min="14338" max="14338" width="9.5" style="12" customWidth="1"/>
    <col min="14339" max="14339" width="21.6640625" style="12" customWidth="1"/>
    <col min="14340" max="14340" width="9.33203125" style="12" customWidth="1"/>
    <col min="14341" max="14341" width="18.6640625" style="12" customWidth="1"/>
    <col min="14342" max="14342" width="53" style="12" customWidth="1"/>
    <col min="14343" max="14343" width="14.33203125" style="12" customWidth="1"/>
    <col min="14344" max="14344" width="9.33203125" style="12"/>
    <col min="14345" max="14345" width="12.6640625" style="12" bestFit="1" customWidth="1"/>
    <col min="14346" max="14590" width="9.33203125" style="12"/>
    <col min="14591" max="14591" width="3.5" style="12" customWidth="1"/>
    <col min="14592" max="14592" width="60.6640625" style="12" customWidth="1"/>
    <col min="14593" max="14593" width="12.5" style="12" customWidth="1"/>
    <col min="14594" max="14594" width="9.5" style="12" customWidth="1"/>
    <col min="14595" max="14595" width="21.6640625" style="12" customWidth="1"/>
    <col min="14596" max="14596" width="9.33203125" style="12" customWidth="1"/>
    <col min="14597" max="14597" width="18.6640625" style="12" customWidth="1"/>
    <col min="14598" max="14598" width="53" style="12" customWidth="1"/>
    <col min="14599" max="14599" width="14.33203125" style="12" customWidth="1"/>
    <col min="14600" max="14600" width="9.33203125" style="12"/>
    <col min="14601" max="14601" width="12.6640625" style="12" bestFit="1" customWidth="1"/>
    <col min="14602" max="14846" width="9.33203125" style="12"/>
    <col min="14847" max="14847" width="3.5" style="12" customWidth="1"/>
    <col min="14848" max="14848" width="60.6640625" style="12" customWidth="1"/>
    <col min="14849" max="14849" width="12.5" style="12" customWidth="1"/>
    <col min="14850" max="14850" width="9.5" style="12" customWidth="1"/>
    <col min="14851" max="14851" width="21.6640625" style="12" customWidth="1"/>
    <col min="14852" max="14852" width="9.33203125" style="12" customWidth="1"/>
    <col min="14853" max="14853" width="18.6640625" style="12" customWidth="1"/>
    <col min="14854" max="14854" width="53" style="12" customWidth="1"/>
    <col min="14855" max="14855" width="14.33203125" style="12" customWidth="1"/>
    <col min="14856" max="14856" width="9.33203125" style="12"/>
    <col min="14857" max="14857" width="12.6640625" style="12" bestFit="1" customWidth="1"/>
    <col min="14858" max="15102" width="9.33203125" style="12"/>
    <col min="15103" max="15103" width="3.5" style="12" customWidth="1"/>
    <col min="15104" max="15104" width="60.6640625" style="12" customWidth="1"/>
    <col min="15105" max="15105" width="12.5" style="12" customWidth="1"/>
    <col min="15106" max="15106" width="9.5" style="12" customWidth="1"/>
    <col min="15107" max="15107" width="21.6640625" style="12" customWidth="1"/>
    <col min="15108" max="15108" width="9.33203125" style="12" customWidth="1"/>
    <col min="15109" max="15109" width="18.6640625" style="12" customWidth="1"/>
    <col min="15110" max="15110" width="53" style="12" customWidth="1"/>
    <col min="15111" max="15111" width="14.33203125" style="12" customWidth="1"/>
    <col min="15112" max="15112" width="9.33203125" style="12"/>
    <col min="15113" max="15113" width="12.6640625" style="12" bestFit="1" customWidth="1"/>
    <col min="15114" max="15358" width="9.33203125" style="12"/>
    <col min="15359" max="15359" width="3.5" style="12" customWidth="1"/>
    <col min="15360" max="15360" width="60.6640625" style="12" customWidth="1"/>
    <col min="15361" max="15361" width="12.5" style="12" customWidth="1"/>
    <col min="15362" max="15362" width="9.5" style="12" customWidth="1"/>
    <col min="15363" max="15363" width="21.6640625" style="12" customWidth="1"/>
    <col min="15364" max="15364" width="9.33203125" style="12" customWidth="1"/>
    <col min="15365" max="15365" width="18.6640625" style="12" customWidth="1"/>
    <col min="15366" max="15366" width="53" style="12" customWidth="1"/>
    <col min="15367" max="15367" width="14.33203125" style="12" customWidth="1"/>
    <col min="15368" max="15368" width="9.33203125" style="12"/>
    <col min="15369" max="15369" width="12.6640625" style="12" bestFit="1" customWidth="1"/>
    <col min="15370" max="15614" width="9.33203125" style="12"/>
    <col min="15615" max="15615" width="3.5" style="12" customWidth="1"/>
    <col min="15616" max="15616" width="60.6640625" style="12" customWidth="1"/>
    <col min="15617" max="15617" width="12.5" style="12" customWidth="1"/>
    <col min="15618" max="15618" width="9.5" style="12" customWidth="1"/>
    <col min="15619" max="15619" width="21.6640625" style="12" customWidth="1"/>
    <col min="15620" max="15620" width="9.33203125" style="12" customWidth="1"/>
    <col min="15621" max="15621" width="18.6640625" style="12" customWidth="1"/>
    <col min="15622" max="15622" width="53" style="12" customWidth="1"/>
    <col min="15623" max="15623" width="14.33203125" style="12" customWidth="1"/>
    <col min="15624" max="15624" width="9.33203125" style="12"/>
    <col min="15625" max="15625" width="12.6640625" style="12" bestFit="1" customWidth="1"/>
    <col min="15626" max="15870" width="9.33203125" style="12"/>
    <col min="15871" max="15871" width="3.5" style="12" customWidth="1"/>
    <col min="15872" max="15872" width="60.6640625" style="12" customWidth="1"/>
    <col min="15873" max="15873" width="12.5" style="12" customWidth="1"/>
    <col min="15874" max="15874" width="9.5" style="12" customWidth="1"/>
    <col min="15875" max="15875" width="21.6640625" style="12" customWidth="1"/>
    <col min="15876" max="15876" width="9.33203125" style="12" customWidth="1"/>
    <col min="15877" max="15877" width="18.6640625" style="12" customWidth="1"/>
    <col min="15878" max="15878" width="53" style="12" customWidth="1"/>
    <col min="15879" max="15879" width="14.33203125" style="12" customWidth="1"/>
    <col min="15880" max="15880" width="9.33203125" style="12"/>
    <col min="15881" max="15881" width="12.6640625" style="12" bestFit="1" customWidth="1"/>
    <col min="15882" max="16126" width="9.33203125" style="12"/>
    <col min="16127" max="16127" width="3.5" style="12" customWidth="1"/>
    <col min="16128" max="16128" width="60.6640625" style="12" customWidth="1"/>
    <col min="16129" max="16129" width="12.5" style="12" customWidth="1"/>
    <col min="16130" max="16130" width="9.5" style="12" customWidth="1"/>
    <col min="16131" max="16131" width="21.6640625" style="12" customWidth="1"/>
    <col min="16132" max="16132" width="9.33203125" style="12" customWidth="1"/>
    <col min="16133" max="16133" width="18.6640625" style="12" customWidth="1"/>
    <col min="16134" max="16134" width="53" style="12" customWidth="1"/>
    <col min="16135" max="16135" width="14.33203125" style="12" customWidth="1"/>
    <col min="16136" max="16136" width="9.33203125" style="12"/>
    <col min="16137" max="16137" width="12.6640625" style="12" bestFit="1" customWidth="1"/>
    <col min="16138" max="16384" width="9.33203125" style="12"/>
  </cols>
  <sheetData>
    <row r="1" spans="1:30" ht="19" thickBot="1" x14ac:dyDescent="0.25"/>
    <row r="2" spans="1:30" s="67" customFormat="1" x14ac:dyDescent="0.2">
      <c r="A2" s="200" t="s">
        <v>41</v>
      </c>
      <c r="B2" s="201"/>
      <c r="C2" s="201"/>
      <c r="D2" s="201"/>
      <c r="E2" s="201"/>
      <c r="F2" s="201"/>
      <c r="G2" s="202"/>
    </row>
    <row r="3" spans="1:30" s="68" customFormat="1" x14ac:dyDescent="0.2">
      <c r="A3" s="203"/>
      <c r="B3" s="204"/>
      <c r="C3" s="204"/>
      <c r="D3" s="204"/>
      <c r="E3" s="204"/>
      <c r="F3" s="204"/>
      <c r="G3" s="205"/>
    </row>
    <row r="4" spans="1:30" s="68" customFormat="1" x14ac:dyDescent="0.2">
      <c r="A4" s="203"/>
      <c r="B4" s="204"/>
      <c r="C4" s="204"/>
      <c r="D4" s="204"/>
      <c r="E4" s="204"/>
      <c r="F4" s="204"/>
      <c r="G4" s="205"/>
    </row>
    <row r="5" spans="1:30" s="68" customFormat="1" x14ac:dyDescent="0.2">
      <c r="A5" s="203"/>
      <c r="B5" s="204"/>
      <c r="C5" s="204"/>
      <c r="D5" s="204"/>
      <c r="E5" s="204"/>
      <c r="F5" s="204"/>
      <c r="G5" s="205"/>
    </row>
    <row r="6" spans="1:30" ht="31.5" customHeight="1" thickBot="1" x14ac:dyDescent="0.25">
      <c r="A6" s="203"/>
      <c r="B6" s="204"/>
      <c r="C6" s="204"/>
      <c r="D6" s="204"/>
      <c r="E6" s="204"/>
      <c r="F6" s="204"/>
      <c r="G6" s="205"/>
      <c r="I6" s="68"/>
      <c r="J6" s="68"/>
      <c r="K6" s="68"/>
      <c r="L6" s="68"/>
    </row>
    <row r="7" spans="1:30" ht="15.5" customHeight="1" x14ac:dyDescent="0.2">
      <c r="A7" s="47" t="s">
        <v>42</v>
      </c>
      <c r="B7" s="209" t="s">
        <v>22</v>
      </c>
      <c r="C7" s="210"/>
      <c r="D7" s="210"/>
      <c r="E7" s="210"/>
      <c r="F7" s="210"/>
      <c r="G7" s="211"/>
      <c r="I7" s="68"/>
      <c r="J7" s="68"/>
      <c r="K7" s="68"/>
      <c r="L7" s="68"/>
    </row>
    <row r="8" spans="1:30" x14ac:dyDescent="0.2">
      <c r="A8" s="48" t="s">
        <v>25</v>
      </c>
      <c r="B8" s="212"/>
      <c r="C8" s="213"/>
      <c r="D8" s="213"/>
      <c r="E8" s="213"/>
      <c r="F8" s="213"/>
      <c r="G8" s="214"/>
      <c r="I8" s="68"/>
      <c r="J8" s="68"/>
      <c r="K8" s="68"/>
      <c r="L8" s="68"/>
    </row>
    <row r="9" spans="1:30" x14ac:dyDescent="0.2">
      <c r="A9" s="48" t="s">
        <v>43</v>
      </c>
      <c r="B9" s="212"/>
      <c r="C9" s="213"/>
      <c r="D9" s="213"/>
      <c r="E9" s="213"/>
      <c r="F9" s="213"/>
      <c r="G9" s="214"/>
      <c r="I9" s="68"/>
      <c r="J9" s="68"/>
      <c r="K9" s="68"/>
      <c r="L9" s="68"/>
    </row>
    <row r="10" spans="1:30" x14ac:dyDescent="0.2">
      <c r="A10" s="48" t="s">
        <v>44</v>
      </c>
      <c r="B10" s="212"/>
      <c r="C10" s="213"/>
      <c r="D10" s="213"/>
      <c r="E10" s="213"/>
      <c r="F10" s="213"/>
      <c r="G10" s="214"/>
      <c r="I10" s="69"/>
      <c r="J10" s="68"/>
      <c r="K10" s="68"/>
      <c r="L10" s="68"/>
    </row>
    <row r="11" spans="1:30" ht="19" thickBot="1" x14ac:dyDescent="0.25">
      <c r="A11" s="48" t="s">
        <v>45</v>
      </c>
      <c r="B11" s="215"/>
      <c r="C11" s="216"/>
      <c r="D11" s="216"/>
      <c r="E11" s="216"/>
      <c r="F11" s="216"/>
      <c r="G11" s="217"/>
      <c r="I11" s="69"/>
      <c r="J11" s="36"/>
      <c r="K11" s="36"/>
      <c r="L11" s="36"/>
      <c r="M11" s="36"/>
    </row>
    <row r="12" spans="1:30" ht="19" thickBot="1" x14ac:dyDescent="0.25">
      <c r="A12" s="49" t="s">
        <v>46</v>
      </c>
      <c r="B12" s="218" t="s">
        <v>23</v>
      </c>
      <c r="C12" s="219"/>
      <c r="D12" s="220"/>
      <c r="E12" s="61">
        <v>51.92</v>
      </c>
      <c r="F12" s="221"/>
      <c r="G12" s="222"/>
      <c r="I12" s="69"/>
      <c r="J12" s="68"/>
      <c r="K12" s="68"/>
      <c r="L12" s="68"/>
    </row>
    <row r="13" spans="1:30" ht="19" thickBot="1" x14ac:dyDescent="0.25">
      <c r="A13" s="50"/>
      <c r="B13" s="206"/>
      <c r="C13" s="207"/>
      <c r="D13" s="207"/>
      <c r="E13" s="207"/>
      <c r="F13" s="207"/>
      <c r="G13" s="208"/>
      <c r="I13" s="69"/>
      <c r="J13" s="68"/>
      <c r="K13" s="68"/>
      <c r="L13" s="68"/>
    </row>
    <row r="14" spans="1:30" ht="39" thickBot="1" x14ac:dyDescent="0.25">
      <c r="A14" s="51"/>
      <c r="B14" s="52" t="s">
        <v>8</v>
      </c>
      <c r="C14" s="53" t="s">
        <v>7</v>
      </c>
      <c r="D14" s="5" t="s">
        <v>6</v>
      </c>
      <c r="E14" s="4" t="s">
        <v>5</v>
      </c>
      <c r="F14" s="6" t="s">
        <v>4</v>
      </c>
      <c r="G14" s="3" t="s">
        <v>3</v>
      </c>
      <c r="I14" s="69"/>
      <c r="J14" s="68"/>
      <c r="K14" s="68"/>
      <c r="L14" s="68"/>
    </row>
    <row r="15" spans="1:30" s="70" customFormat="1" x14ac:dyDescent="0.2">
      <c r="A15" s="54" t="s">
        <v>9</v>
      </c>
      <c r="B15" s="55"/>
      <c r="C15" s="56"/>
      <c r="D15" s="57"/>
      <c r="E15" s="58"/>
      <c r="F15" s="59"/>
      <c r="G15" s="60"/>
      <c r="H15" s="12"/>
      <c r="I15" s="68"/>
      <c r="J15" s="68"/>
      <c r="K15" s="68"/>
      <c r="L15" s="68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s="70" customFormat="1" ht="19" x14ac:dyDescent="0.2">
      <c r="A16" s="9" t="s">
        <v>17</v>
      </c>
      <c r="B16" s="10">
        <v>1</v>
      </c>
      <c r="C16" s="11">
        <v>1</v>
      </c>
      <c r="D16" s="77">
        <v>135</v>
      </c>
      <c r="E16" s="1">
        <f>$E$12</f>
        <v>51.92</v>
      </c>
      <c r="F16" s="7">
        <f t="shared" ref="F16" si="0">+E16*D16*C16*B16</f>
        <v>7009.2</v>
      </c>
      <c r="G16" s="60">
        <v>46089</v>
      </c>
      <c r="H16" s="195">
        <v>0.1</v>
      </c>
      <c r="I16" s="68"/>
      <c r="J16" s="68"/>
      <c r="K16" s="68"/>
      <c r="L16" s="68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s="70" customFormat="1" ht="19" x14ac:dyDescent="0.2">
      <c r="A17" s="9" t="s">
        <v>47</v>
      </c>
      <c r="B17" s="10">
        <v>7</v>
      </c>
      <c r="C17" s="11">
        <v>1</v>
      </c>
      <c r="D17" s="77">
        <v>155</v>
      </c>
      <c r="E17" s="1">
        <f>$E$12</f>
        <v>51.92</v>
      </c>
      <c r="F17" s="7">
        <f t="shared" ref="F17:F18" si="1">+E17*D17*C17*B17</f>
        <v>56333.200000000004</v>
      </c>
      <c r="G17" s="60">
        <v>46089</v>
      </c>
      <c r="H17" s="195">
        <v>0.1</v>
      </c>
      <c r="I17" s="68"/>
      <c r="J17" s="68"/>
      <c r="K17" s="68"/>
      <c r="L17" s="68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s="70" customFormat="1" ht="19" x14ac:dyDescent="0.2">
      <c r="A18" s="9" t="s">
        <v>17</v>
      </c>
      <c r="B18" s="10">
        <v>2</v>
      </c>
      <c r="C18" s="11">
        <v>1</v>
      </c>
      <c r="D18" s="77">
        <v>135</v>
      </c>
      <c r="E18" s="1">
        <f>$E$12</f>
        <v>51.92</v>
      </c>
      <c r="F18" s="7">
        <f t="shared" si="1"/>
        <v>14018.4</v>
      </c>
      <c r="G18" s="60">
        <v>46090</v>
      </c>
      <c r="H18" s="195">
        <v>0.1</v>
      </c>
      <c r="I18" s="68"/>
      <c r="J18" s="68"/>
      <c r="K18" s="68"/>
      <c r="L18" s="68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 s="70" customFormat="1" ht="19" x14ac:dyDescent="0.2">
      <c r="A19" s="9" t="s">
        <v>47</v>
      </c>
      <c r="B19" s="10">
        <v>7</v>
      </c>
      <c r="C19" s="11">
        <v>1</v>
      </c>
      <c r="D19" s="77">
        <v>155</v>
      </c>
      <c r="E19" s="1">
        <f>$E$12</f>
        <v>51.92</v>
      </c>
      <c r="F19" s="7">
        <f t="shared" ref="F19" si="2">+E19*D19*C19*B19</f>
        <v>56333.200000000004</v>
      </c>
      <c r="G19" s="60">
        <v>46090</v>
      </c>
      <c r="H19" s="195">
        <v>0.1</v>
      </c>
      <c r="I19" s="68"/>
      <c r="J19" s="68"/>
      <c r="K19" s="68"/>
      <c r="L19" s="68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s="70" customFormat="1" ht="19" x14ac:dyDescent="0.2">
      <c r="A20" s="9" t="s">
        <v>15</v>
      </c>
      <c r="B20" s="10"/>
      <c r="C20" s="11"/>
      <c r="D20" s="2"/>
      <c r="E20" s="1"/>
      <c r="F20" s="7">
        <f>SUM(F16:F19)*0.02</f>
        <v>2673.88</v>
      </c>
      <c r="G20" s="60"/>
      <c r="H20" s="195">
        <v>0</v>
      </c>
      <c r="I20" s="68"/>
      <c r="J20" s="68"/>
      <c r="K20" s="68"/>
      <c r="L20" s="68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s="70" customFormat="1" ht="19" x14ac:dyDescent="0.2">
      <c r="A21" s="24" t="s">
        <v>10</v>
      </c>
      <c r="B21" s="25"/>
      <c r="C21" s="26"/>
      <c r="D21" s="27"/>
      <c r="E21" s="28"/>
      <c r="F21" s="29">
        <f>SUM(F15:F20)</f>
        <v>136367.88</v>
      </c>
      <c r="G21" s="60"/>
      <c r="H21" s="12"/>
      <c r="I21" s="68"/>
      <c r="J21" s="68"/>
      <c r="K21" s="68"/>
      <c r="L21" s="68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s="70" customFormat="1" x14ac:dyDescent="0.2">
      <c r="A22" s="18" t="s">
        <v>11</v>
      </c>
      <c r="B22" s="19"/>
      <c r="C22" s="20"/>
      <c r="D22" s="21"/>
      <c r="E22" s="22"/>
      <c r="F22" s="23"/>
      <c r="G22" s="60"/>
      <c r="H22" s="12"/>
      <c r="I22" s="68"/>
      <c r="J22" s="68"/>
      <c r="K22" s="68"/>
      <c r="L22" s="68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s="70" customFormat="1" ht="38" x14ac:dyDescent="0.2">
      <c r="A23" s="9" t="s">
        <v>26</v>
      </c>
      <c r="B23" s="10">
        <v>15</v>
      </c>
      <c r="C23" s="11">
        <v>2</v>
      </c>
      <c r="D23" s="77">
        <v>55</v>
      </c>
      <c r="E23" s="1">
        <f>$E$12</f>
        <v>51.92</v>
      </c>
      <c r="F23" s="7">
        <f t="shared" ref="F23:F26" si="3">+E23*D23*C23*B23</f>
        <v>85668</v>
      </c>
      <c r="G23" s="60" t="s">
        <v>48</v>
      </c>
      <c r="H23" s="195">
        <v>0.2</v>
      </c>
      <c r="I23" s="68"/>
      <c r="J23" s="68"/>
      <c r="K23" s="68"/>
      <c r="L23" s="68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s="70" customFormat="1" ht="38" x14ac:dyDescent="0.2">
      <c r="A24" s="9" t="s">
        <v>26</v>
      </c>
      <c r="B24" s="10">
        <v>14</v>
      </c>
      <c r="C24" s="11">
        <v>2</v>
      </c>
      <c r="D24" s="77">
        <v>55</v>
      </c>
      <c r="E24" s="1">
        <f>$E$12</f>
        <v>51.92</v>
      </c>
      <c r="F24" s="7">
        <f t="shared" si="3"/>
        <v>79956.800000000003</v>
      </c>
      <c r="G24" s="60" t="s">
        <v>48</v>
      </c>
      <c r="H24" s="195">
        <v>0.2</v>
      </c>
      <c r="I24" s="68"/>
      <c r="J24" s="68"/>
      <c r="K24" s="68"/>
      <c r="L24" s="68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s="70" customFormat="1" ht="19" x14ac:dyDescent="0.2">
      <c r="A25" s="9" t="s">
        <v>104</v>
      </c>
      <c r="B25" s="10">
        <v>6</v>
      </c>
      <c r="C25" s="11">
        <v>1</v>
      </c>
      <c r="D25" s="2">
        <v>170</v>
      </c>
      <c r="E25" s="1">
        <v>1</v>
      </c>
      <c r="F25" s="7">
        <f t="shared" ref="F25" si="4">+E25*D25*C25*B25</f>
        <v>1020</v>
      </c>
      <c r="G25" s="60" t="s">
        <v>105</v>
      </c>
      <c r="H25" s="195">
        <v>0.1</v>
      </c>
      <c r="I25" s="68"/>
      <c r="J25" s="68"/>
      <c r="K25" s="68"/>
      <c r="L25" s="68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s="70" customFormat="1" ht="19" x14ac:dyDescent="0.2">
      <c r="A26" s="9" t="s">
        <v>24</v>
      </c>
      <c r="B26" s="10">
        <v>0</v>
      </c>
      <c r="C26" s="11">
        <v>0</v>
      </c>
      <c r="D26" s="2">
        <v>0</v>
      </c>
      <c r="E26" s="1">
        <v>1</v>
      </c>
      <c r="F26" s="7">
        <f t="shared" si="3"/>
        <v>0</v>
      </c>
      <c r="G26" s="60"/>
      <c r="H26" s="68"/>
      <c r="I26" s="68"/>
      <c r="J26" s="68"/>
      <c r="K26" s="68"/>
      <c r="L26" s="68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s="70" customFormat="1" ht="38" x14ac:dyDescent="0.2">
      <c r="A27" s="9" t="s">
        <v>21</v>
      </c>
      <c r="B27" s="10">
        <v>29</v>
      </c>
      <c r="C27" s="11">
        <v>1</v>
      </c>
      <c r="D27" s="2">
        <v>200</v>
      </c>
      <c r="E27" s="1">
        <v>1</v>
      </c>
      <c r="F27" s="7">
        <f t="shared" ref="F27" si="5">+E27*D27*C27*B27</f>
        <v>5800</v>
      </c>
      <c r="G27" s="60" t="s">
        <v>106</v>
      </c>
      <c r="H27" s="195">
        <v>0.2</v>
      </c>
      <c r="I27" s="68"/>
      <c r="J27" s="68"/>
      <c r="K27" s="68"/>
      <c r="L27" s="68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s="70" customFormat="1" ht="19" x14ac:dyDescent="0.2">
      <c r="A28" s="24" t="s">
        <v>12</v>
      </c>
      <c r="B28" s="25"/>
      <c r="C28" s="26"/>
      <c r="D28" s="27"/>
      <c r="E28" s="28"/>
      <c r="F28" s="29">
        <f>SUM(F22:F27)</f>
        <v>172444.79999999999</v>
      </c>
      <c r="G28" s="60"/>
      <c r="H28" s="68"/>
      <c r="I28" s="68"/>
      <c r="J28" s="68"/>
      <c r="K28" s="68"/>
      <c r="L28" s="68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s="70" customFormat="1" x14ac:dyDescent="0.2">
      <c r="A29" s="18" t="s">
        <v>13</v>
      </c>
      <c r="B29" s="19"/>
      <c r="C29" s="20"/>
      <c r="D29" s="21"/>
      <c r="E29" s="22"/>
      <c r="F29" s="23"/>
      <c r="G29" s="42"/>
      <c r="H29" s="12"/>
      <c r="I29" s="68"/>
      <c r="J29" s="68"/>
      <c r="K29" s="68"/>
      <c r="L29" s="68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s="70" customFormat="1" ht="19" x14ac:dyDescent="0.2">
      <c r="A30" s="9" t="s">
        <v>18</v>
      </c>
      <c r="B30" s="10">
        <v>1</v>
      </c>
      <c r="C30" s="11">
        <v>1</v>
      </c>
      <c r="D30" s="2">
        <v>0</v>
      </c>
      <c r="E30" s="1">
        <v>1</v>
      </c>
      <c r="F30" s="7">
        <f t="shared" ref="F30" si="6">+E30*D30*C30*B30</f>
        <v>0</v>
      </c>
      <c r="G30" s="46" t="s">
        <v>20</v>
      </c>
      <c r="H30" s="12"/>
      <c r="I30" s="196"/>
      <c r="J30" s="196"/>
      <c r="K30" s="68"/>
      <c r="L30" s="68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 s="70" customFormat="1" ht="19" x14ac:dyDescent="0.2">
      <c r="A31" s="9" t="s">
        <v>19</v>
      </c>
      <c r="B31" s="10">
        <v>1</v>
      </c>
      <c r="C31" s="11">
        <v>1</v>
      </c>
      <c r="D31" s="2">
        <v>0</v>
      </c>
      <c r="E31" s="1">
        <v>1</v>
      </c>
      <c r="F31" s="7">
        <f t="shared" ref="F31" si="7">+E31*D31*C31*B31</f>
        <v>0</v>
      </c>
      <c r="G31" s="46" t="s">
        <v>20</v>
      </c>
      <c r="H31" s="12"/>
      <c r="I31" s="197"/>
      <c r="J31" s="197"/>
      <c r="K31" s="68"/>
      <c r="L31" s="68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 s="70" customFormat="1" ht="20" thickBot="1" x14ac:dyDescent="0.25">
      <c r="A32" s="24" t="s">
        <v>14</v>
      </c>
      <c r="B32" s="25"/>
      <c r="C32" s="26"/>
      <c r="D32" s="27"/>
      <c r="E32" s="28"/>
      <c r="F32" s="29">
        <f>SUM(F29:F31)</f>
        <v>0</v>
      </c>
      <c r="G32" s="43"/>
      <c r="H32" s="12"/>
      <c r="I32" s="68"/>
      <c r="J32" s="68"/>
      <c r="K32" s="68"/>
      <c r="L32" s="68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 ht="21" x14ac:dyDescent="0.2">
      <c r="A33" s="13" t="s">
        <v>2</v>
      </c>
      <c r="B33" s="30"/>
      <c r="C33" s="31"/>
      <c r="D33" s="32"/>
      <c r="E33" s="33"/>
      <c r="F33" s="34">
        <f>SUM(F15:F32)/2</f>
        <v>308812.68</v>
      </c>
      <c r="G33" s="44"/>
      <c r="H33" s="195"/>
      <c r="I33" s="196">
        <v>0</v>
      </c>
      <c r="J33" s="196">
        <v>0.1</v>
      </c>
      <c r="K33" s="196">
        <v>0.2</v>
      </c>
      <c r="L33" s="68"/>
    </row>
    <row r="34" spans="1:30" ht="21" x14ac:dyDescent="0.2">
      <c r="A34" s="37" t="s">
        <v>16</v>
      </c>
      <c r="B34" s="38"/>
      <c r="C34" s="39"/>
      <c r="D34" s="40"/>
      <c r="E34" s="39"/>
      <c r="F34" s="41">
        <f>(F33)*8%</f>
        <v>24705.0144</v>
      </c>
      <c r="G34" s="44"/>
      <c r="H34" s="195"/>
      <c r="I34" s="197">
        <f>F20</f>
        <v>2673.88</v>
      </c>
      <c r="J34" s="197">
        <f>F16+F17+F18+F19+F25</f>
        <v>134714</v>
      </c>
      <c r="K34" s="197">
        <f>F23+F24+F27+F34</f>
        <v>196129.81439999997</v>
      </c>
      <c r="L34" s="68"/>
    </row>
    <row r="35" spans="1:30" ht="22" thickBot="1" x14ac:dyDescent="0.25">
      <c r="A35" s="14" t="s">
        <v>1</v>
      </c>
      <c r="B35" s="15"/>
      <c r="C35" s="16"/>
      <c r="D35" s="17"/>
      <c r="E35" s="16"/>
      <c r="F35" s="35">
        <f>SUM(F33:F34)</f>
        <v>333517.69439999998</v>
      </c>
      <c r="G35" s="45"/>
      <c r="I35" s="198">
        <f>SUM(I34:K34)</f>
        <v>333517.69439999998</v>
      </c>
      <c r="J35" s="199"/>
      <c r="K35" s="199"/>
      <c r="L35" s="68"/>
    </row>
    <row r="36" spans="1:30" s="72" customFormat="1" x14ac:dyDescent="0.2">
      <c r="A36" s="71"/>
      <c r="B36" s="63"/>
      <c r="C36" s="63"/>
      <c r="D36" s="64"/>
      <c r="E36" s="65"/>
      <c r="F36" s="66"/>
      <c r="G36" s="8"/>
      <c r="H36" s="12"/>
      <c r="I36" s="68"/>
      <c r="J36" s="68"/>
      <c r="K36" s="68"/>
      <c r="L36" s="68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1:30" x14ac:dyDescent="0.2">
      <c r="A37" s="71" t="s">
        <v>0</v>
      </c>
    </row>
    <row r="42" spans="1:30" s="72" customFormat="1" x14ac:dyDescent="0.2">
      <c r="A42" s="62"/>
      <c r="B42" s="63"/>
      <c r="C42" s="63"/>
      <c r="D42" s="69"/>
      <c r="E42" s="69"/>
      <c r="F42" s="66"/>
      <c r="G42" s="8"/>
      <c r="H42" s="12"/>
      <c r="I42" s="12"/>
      <c r="J42" s="12"/>
      <c r="K42" s="12"/>
      <c r="L42" s="12"/>
      <c r="M42" s="12"/>
      <c r="N42" s="12"/>
    </row>
    <row r="43" spans="1:30" s="72" customFormat="1" x14ac:dyDescent="0.2">
      <c r="A43" s="62"/>
      <c r="B43" s="63"/>
      <c r="C43" s="63"/>
      <c r="D43" s="69"/>
      <c r="E43" s="69"/>
      <c r="F43" s="66"/>
      <c r="G43" s="8"/>
      <c r="H43" s="12"/>
      <c r="I43" s="12"/>
      <c r="J43" s="12"/>
      <c r="K43" s="12"/>
      <c r="L43" s="12"/>
      <c r="M43" s="12"/>
      <c r="N43" s="12"/>
    </row>
    <row r="44" spans="1:30" s="72" customFormat="1" x14ac:dyDescent="0.2">
      <c r="A44" s="62"/>
      <c r="B44" s="63"/>
      <c r="C44" s="63"/>
      <c r="D44" s="69"/>
      <c r="E44" s="69"/>
      <c r="F44" s="66"/>
      <c r="G44" s="8"/>
      <c r="H44" s="12"/>
      <c r="I44" s="12"/>
      <c r="J44" s="12"/>
      <c r="K44" s="12"/>
      <c r="L44" s="12"/>
      <c r="M44" s="12"/>
      <c r="N44" s="12"/>
    </row>
    <row r="45" spans="1:30" s="72" customFormat="1" x14ac:dyDescent="0.2">
      <c r="A45" s="62"/>
      <c r="B45" s="63"/>
      <c r="C45" s="63"/>
      <c r="D45" s="69"/>
      <c r="E45" s="69"/>
      <c r="F45" s="66"/>
      <c r="G45" s="8"/>
      <c r="H45" s="12"/>
      <c r="I45" s="12"/>
      <c r="J45" s="12"/>
      <c r="K45" s="12"/>
      <c r="L45" s="12"/>
      <c r="M45" s="12"/>
      <c r="N45" s="12"/>
    </row>
    <row r="46" spans="1:30" s="72" customFormat="1" x14ac:dyDescent="0.2">
      <c r="A46" s="62"/>
      <c r="B46" s="63"/>
      <c r="C46" s="63"/>
      <c r="D46" s="69"/>
      <c r="E46" s="69"/>
      <c r="F46" s="66"/>
      <c r="G46" s="8"/>
      <c r="H46" s="12"/>
      <c r="I46" s="12"/>
      <c r="J46" s="12"/>
      <c r="K46" s="12"/>
      <c r="L46" s="12"/>
      <c r="M46" s="12"/>
      <c r="N46" s="12"/>
    </row>
    <row r="47" spans="1:30" s="72" customFormat="1" x14ac:dyDescent="0.2">
      <c r="A47" s="62"/>
      <c r="B47" s="63"/>
      <c r="C47" s="63"/>
      <c r="D47" s="69"/>
      <c r="E47" s="69"/>
      <c r="F47" s="66"/>
      <c r="G47" s="8"/>
      <c r="H47" s="12"/>
      <c r="I47" s="12"/>
      <c r="J47" s="12"/>
      <c r="K47" s="12"/>
      <c r="L47" s="12"/>
      <c r="M47" s="12"/>
      <c r="N47" s="12"/>
    </row>
    <row r="48" spans="1:30" s="72" customFormat="1" x14ac:dyDescent="0.2">
      <c r="A48" s="62"/>
      <c r="B48" s="63"/>
      <c r="C48" s="63"/>
      <c r="D48" s="69"/>
      <c r="E48" s="69"/>
      <c r="F48" s="66"/>
      <c r="G48" s="8"/>
      <c r="H48" s="12"/>
      <c r="I48" s="12"/>
      <c r="J48" s="12"/>
      <c r="K48" s="12"/>
      <c r="L48" s="12"/>
      <c r="M48" s="12"/>
      <c r="N48" s="12"/>
    </row>
    <row r="49" spans="1:14" s="72" customFormat="1" x14ac:dyDescent="0.2">
      <c r="A49" s="62"/>
      <c r="B49" s="63"/>
      <c r="C49" s="63"/>
      <c r="D49" s="69"/>
      <c r="E49" s="69"/>
      <c r="F49" s="66"/>
      <c r="G49" s="8"/>
      <c r="H49" s="12"/>
      <c r="I49" s="12"/>
      <c r="J49" s="12"/>
      <c r="K49" s="12"/>
      <c r="L49" s="12"/>
      <c r="M49" s="12"/>
      <c r="N49" s="12"/>
    </row>
    <row r="50" spans="1:14" s="72" customFormat="1" x14ac:dyDescent="0.2">
      <c r="A50" s="62"/>
      <c r="B50" s="63"/>
      <c r="C50" s="63"/>
      <c r="D50" s="69"/>
      <c r="E50" s="69"/>
      <c r="F50" s="66"/>
      <c r="G50" s="8"/>
      <c r="H50" s="12"/>
      <c r="I50" s="12"/>
      <c r="J50" s="12"/>
      <c r="K50" s="12"/>
      <c r="L50" s="12"/>
      <c r="M50" s="12"/>
      <c r="N50" s="12"/>
    </row>
    <row r="51" spans="1:14" s="72" customFormat="1" x14ac:dyDescent="0.2">
      <c r="A51" s="62"/>
      <c r="B51" s="63"/>
      <c r="C51" s="63"/>
      <c r="D51" s="69"/>
      <c r="E51" s="69"/>
      <c r="F51" s="66"/>
      <c r="G51" s="8"/>
      <c r="H51" s="12"/>
      <c r="I51" s="12"/>
      <c r="J51" s="12"/>
      <c r="K51" s="12"/>
      <c r="L51" s="12"/>
      <c r="M51" s="12"/>
      <c r="N51" s="12"/>
    </row>
    <row r="52" spans="1:14" s="72" customFormat="1" x14ac:dyDescent="0.2">
      <c r="A52" s="62"/>
      <c r="B52" s="63"/>
      <c r="C52" s="63"/>
      <c r="D52" s="69"/>
      <c r="E52" s="69"/>
      <c r="F52" s="66"/>
      <c r="G52" s="8"/>
      <c r="H52" s="12"/>
      <c r="I52" s="12"/>
      <c r="J52" s="12"/>
      <c r="K52" s="12"/>
      <c r="L52" s="12"/>
      <c r="M52" s="12"/>
      <c r="N52" s="12"/>
    </row>
    <row r="53" spans="1:14" s="72" customFormat="1" x14ac:dyDescent="0.2">
      <c r="A53" s="62"/>
      <c r="B53" s="63"/>
      <c r="C53" s="63"/>
      <c r="D53" s="69"/>
      <c r="E53" s="69"/>
      <c r="F53" s="66"/>
      <c r="G53" s="8"/>
      <c r="H53" s="12"/>
      <c r="I53" s="12"/>
      <c r="J53" s="12"/>
      <c r="K53" s="12"/>
      <c r="L53" s="12"/>
      <c r="M53" s="12"/>
      <c r="N53" s="12"/>
    </row>
    <row r="54" spans="1:14" s="72" customFormat="1" x14ac:dyDescent="0.2">
      <c r="A54" s="62"/>
      <c r="B54" s="63"/>
      <c r="C54" s="63"/>
      <c r="D54" s="69"/>
      <c r="E54" s="69"/>
      <c r="F54" s="66"/>
      <c r="G54" s="8"/>
      <c r="H54" s="12"/>
      <c r="I54" s="12"/>
      <c r="J54" s="12"/>
      <c r="K54" s="12"/>
      <c r="L54" s="12"/>
      <c r="M54" s="12"/>
      <c r="N54" s="12"/>
    </row>
    <row r="55" spans="1:14" s="72" customFormat="1" x14ac:dyDescent="0.2">
      <c r="A55" s="62"/>
      <c r="B55" s="63"/>
      <c r="C55" s="63"/>
      <c r="D55" s="69"/>
      <c r="E55" s="69"/>
      <c r="F55" s="66"/>
      <c r="G55" s="8"/>
      <c r="H55" s="12"/>
      <c r="I55" s="12"/>
      <c r="J55" s="12"/>
      <c r="K55" s="12"/>
      <c r="L55" s="12"/>
      <c r="M55" s="12"/>
      <c r="N55" s="12"/>
    </row>
  </sheetData>
  <mergeCells count="6">
    <mergeCell ref="I35:K35"/>
    <mergeCell ref="A2:G6"/>
    <mergeCell ref="B13:G13"/>
    <mergeCell ref="B7:G11"/>
    <mergeCell ref="B12:D12"/>
    <mergeCell ref="F12:G12"/>
  </mergeCells>
  <printOptions horizontalCentered="1"/>
  <pageMargins left="0.24" right="0.24" top="0.33" bottom="0.28000000000000003" header="0.31496062992125984" footer="0.31496062992125984"/>
  <pageSetup paperSize="9" scale="43" fitToHeight="2" orientation="portrait" r:id="rId1"/>
  <ignoredErrors>
    <ignoredError sqref="G23:G24" twoDigitTextYear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8EEB7-C843-4ABF-91CE-C349316C702B}">
  <sheetPr>
    <tabColor rgb="FFFFFF00"/>
  </sheetPr>
  <dimension ref="A1:F19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4.83203125" style="73" customWidth="1"/>
    <col min="2" max="2" width="21.5" style="76" bestFit="1" customWidth="1"/>
    <col min="3" max="3" width="16.83203125" style="73" customWidth="1"/>
    <col min="4" max="5" width="26.83203125" style="76" bestFit="1" customWidth="1"/>
    <col min="6" max="6" width="22.33203125" style="76" bestFit="1" customWidth="1"/>
    <col min="7" max="16384" width="8.83203125" style="76"/>
  </cols>
  <sheetData>
    <row r="1" spans="1:6" ht="17" x14ac:dyDescent="0.2">
      <c r="A1" s="181"/>
      <c r="B1" s="182" t="s">
        <v>27</v>
      </c>
      <c r="C1" s="182"/>
      <c r="D1" s="183">
        <v>46089</v>
      </c>
      <c r="E1" s="183">
        <v>46090</v>
      </c>
      <c r="F1" s="183">
        <v>46091</v>
      </c>
    </row>
    <row r="2" spans="1:6" x14ac:dyDescent="0.2">
      <c r="A2" s="75">
        <v>1</v>
      </c>
      <c r="B2" s="186" t="s">
        <v>49</v>
      </c>
      <c r="C2" s="79" t="s">
        <v>92</v>
      </c>
      <c r="D2" s="223" t="s">
        <v>94</v>
      </c>
      <c r="E2" s="223" t="s">
        <v>94</v>
      </c>
      <c r="F2" s="224" t="s">
        <v>28</v>
      </c>
    </row>
    <row r="3" spans="1:6" x14ac:dyDescent="0.2">
      <c r="A3" s="75">
        <v>2</v>
      </c>
      <c r="B3" s="186" t="s">
        <v>55</v>
      </c>
      <c r="C3" s="79" t="s">
        <v>92</v>
      </c>
      <c r="D3" s="223"/>
      <c r="E3" s="223"/>
      <c r="F3" s="225"/>
    </row>
    <row r="4" spans="1:6" x14ac:dyDescent="0.2">
      <c r="A4" s="75">
        <v>3</v>
      </c>
      <c r="B4" s="187" t="s">
        <v>59</v>
      </c>
      <c r="C4" s="79" t="s">
        <v>92</v>
      </c>
      <c r="D4" s="223" t="s">
        <v>94</v>
      </c>
      <c r="E4" s="223" t="s">
        <v>94</v>
      </c>
      <c r="F4" s="225"/>
    </row>
    <row r="5" spans="1:6" x14ac:dyDescent="0.2">
      <c r="A5" s="75">
        <v>4</v>
      </c>
      <c r="B5" s="187" t="s">
        <v>61</v>
      </c>
      <c r="C5" s="79" t="s">
        <v>92</v>
      </c>
      <c r="D5" s="223"/>
      <c r="E5" s="223"/>
      <c r="F5" s="225"/>
    </row>
    <row r="6" spans="1:6" x14ac:dyDescent="0.2">
      <c r="A6" s="75">
        <v>5</v>
      </c>
      <c r="B6" s="188" t="s">
        <v>62</v>
      </c>
      <c r="C6" s="79" t="s">
        <v>92</v>
      </c>
      <c r="D6" s="223" t="s">
        <v>94</v>
      </c>
      <c r="E6" s="223" t="s">
        <v>94</v>
      </c>
      <c r="F6" s="225"/>
    </row>
    <row r="7" spans="1:6" x14ac:dyDescent="0.2">
      <c r="A7" s="75">
        <v>6</v>
      </c>
      <c r="B7" s="188" t="s">
        <v>64</v>
      </c>
      <c r="C7" s="79" t="s">
        <v>92</v>
      </c>
      <c r="D7" s="223"/>
      <c r="E7" s="223"/>
      <c r="F7" s="225"/>
    </row>
    <row r="8" spans="1:6" x14ac:dyDescent="0.2">
      <c r="A8" s="75">
        <v>7</v>
      </c>
      <c r="B8" s="189" t="s">
        <v>96</v>
      </c>
      <c r="C8" s="79" t="s">
        <v>92</v>
      </c>
      <c r="D8" s="78" t="s">
        <v>95</v>
      </c>
      <c r="E8" s="78" t="s">
        <v>95</v>
      </c>
      <c r="F8" s="225"/>
    </row>
    <row r="9" spans="1:6" x14ac:dyDescent="0.2">
      <c r="A9" s="75">
        <v>8</v>
      </c>
      <c r="B9" s="189" t="s">
        <v>98</v>
      </c>
      <c r="C9" s="79" t="s">
        <v>92</v>
      </c>
      <c r="D9" s="194" t="s">
        <v>103</v>
      </c>
      <c r="E9" s="78" t="s">
        <v>95</v>
      </c>
      <c r="F9" s="225"/>
    </row>
    <row r="10" spans="1:6" x14ac:dyDescent="0.2">
      <c r="A10" s="75">
        <v>9</v>
      </c>
      <c r="B10" s="190" t="s">
        <v>65</v>
      </c>
      <c r="C10" s="79" t="s">
        <v>92</v>
      </c>
      <c r="D10" s="223" t="s">
        <v>94</v>
      </c>
      <c r="E10" s="223" t="s">
        <v>94</v>
      </c>
      <c r="F10" s="225"/>
    </row>
    <row r="11" spans="1:6" x14ac:dyDescent="0.2">
      <c r="A11" s="75">
        <v>10</v>
      </c>
      <c r="B11" s="190" t="s">
        <v>78</v>
      </c>
      <c r="C11" s="80" t="s">
        <v>93</v>
      </c>
      <c r="D11" s="223"/>
      <c r="E11" s="223"/>
      <c r="F11" s="225"/>
    </row>
    <row r="12" spans="1:6" x14ac:dyDescent="0.2">
      <c r="A12" s="75">
        <v>11</v>
      </c>
      <c r="B12" s="191" t="s">
        <v>75</v>
      </c>
      <c r="C12" s="80" t="s">
        <v>93</v>
      </c>
      <c r="D12" s="223" t="s">
        <v>94</v>
      </c>
      <c r="E12" s="223" t="s">
        <v>94</v>
      </c>
      <c r="F12" s="225"/>
    </row>
    <row r="13" spans="1:6" x14ac:dyDescent="0.2">
      <c r="A13" s="75">
        <v>12</v>
      </c>
      <c r="B13" s="187" t="s">
        <v>57</v>
      </c>
      <c r="C13" s="80" t="s">
        <v>93</v>
      </c>
      <c r="D13" s="223"/>
      <c r="E13" s="223"/>
      <c r="F13" s="225"/>
    </row>
    <row r="14" spans="1:6" x14ac:dyDescent="0.2">
      <c r="A14" s="75">
        <v>13</v>
      </c>
      <c r="B14" s="192" t="s">
        <v>81</v>
      </c>
      <c r="C14" s="80" t="s">
        <v>93</v>
      </c>
      <c r="D14" s="223" t="s">
        <v>94</v>
      </c>
      <c r="E14" s="223" t="s">
        <v>94</v>
      </c>
      <c r="F14" s="225"/>
    </row>
    <row r="15" spans="1:6" x14ac:dyDescent="0.2">
      <c r="A15" s="75">
        <v>14</v>
      </c>
      <c r="B15" s="192" t="s">
        <v>84</v>
      </c>
      <c r="C15" s="80" t="s">
        <v>93</v>
      </c>
      <c r="D15" s="223"/>
      <c r="E15" s="223"/>
      <c r="F15" s="225"/>
    </row>
    <row r="16" spans="1:6" x14ac:dyDescent="0.2">
      <c r="A16" s="75">
        <v>15</v>
      </c>
      <c r="B16" s="193" t="s">
        <v>76</v>
      </c>
      <c r="C16" s="80" t="s">
        <v>93</v>
      </c>
      <c r="D16" s="223" t="s">
        <v>94</v>
      </c>
      <c r="E16" s="223" t="s">
        <v>94</v>
      </c>
      <c r="F16" s="225"/>
    </row>
    <row r="17" spans="1:6" x14ac:dyDescent="0.2">
      <c r="A17" s="75">
        <v>16</v>
      </c>
      <c r="B17" s="193" t="s">
        <v>85</v>
      </c>
      <c r="C17" s="80" t="s">
        <v>93</v>
      </c>
      <c r="D17" s="223"/>
      <c r="E17" s="223"/>
      <c r="F17" s="226"/>
    </row>
    <row r="18" spans="1:6" ht="17" x14ac:dyDescent="0.2">
      <c r="C18" s="184" t="s">
        <v>95</v>
      </c>
      <c r="D18" s="185">
        <f>COUNTIF(D2:D17, "SNG")</f>
        <v>1</v>
      </c>
      <c r="E18" s="185">
        <f>COUNTIF(E2:E17, "SNG")</f>
        <v>2</v>
      </c>
    </row>
    <row r="19" spans="1:6" ht="17" x14ac:dyDescent="0.2">
      <c r="C19" s="75" t="s">
        <v>94</v>
      </c>
      <c r="D19" s="74">
        <f>COUNTIF(D2:D17, "DBL")</f>
        <v>7</v>
      </c>
      <c r="E19" s="74">
        <f>COUNTIF(E2:E17, "DBL")</f>
        <v>7</v>
      </c>
    </row>
  </sheetData>
  <mergeCells count="15">
    <mergeCell ref="D16:D17"/>
    <mergeCell ref="E16:E17"/>
    <mergeCell ref="F2:F17"/>
    <mergeCell ref="D10:D11"/>
    <mergeCell ref="D12:D13"/>
    <mergeCell ref="D14:D15"/>
    <mergeCell ref="E2:E3"/>
    <mergeCell ref="E4:E5"/>
    <mergeCell ref="E6:E7"/>
    <mergeCell ref="E10:E11"/>
    <mergeCell ref="E12:E13"/>
    <mergeCell ref="E14:E15"/>
    <mergeCell ref="D2:D3"/>
    <mergeCell ref="D4:D5"/>
    <mergeCell ref="D6:D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735D-FA65-454A-8E6E-689A7B38CC98}">
  <sheetPr>
    <tabColor rgb="FF92D050"/>
  </sheetPr>
  <dimension ref="A1:L25"/>
  <sheetViews>
    <sheetView workbookViewId="0">
      <selection activeCell="B1" sqref="B1:H1"/>
    </sheetView>
  </sheetViews>
  <sheetFormatPr baseColWidth="10" defaultColWidth="8.83203125" defaultRowHeight="15" x14ac:dyDescent="0.2"/>
  <cols>
    <col min="1" max="1" width="2.33203125" style="82" bestFit="1" customWidth="1"/>
    <col min="2" max="2" width="19.33203125" style="82" bestFit="1" customWidth="1"/>
    <col min="3" max="3" width="9.1640625" style="82" bestFit="1" customWidth="1"/>
    <col min="4" max="4" width="19.6640625" style="82" bestFit="1" customWidth="1"/>
    <col min="5" max="5" width="9.1640625" style="82" bestFit="1" customWidth="1"/>
    <col min="6" max="6" width="13.6640625" style="82" bestFit="1" customWidth="1"/>
    <col min="7" max="7" width="30.6640625" style="82" bestFit="1" customWidth="1"/>
    <col min="8" max="8" width="6.1640625" style="82" bestFit="1" customWidth="1"/>
    <col min="9" max="9" width="14.1640625" style="82" customWidth="1"/>
    <col min="10" max="16384" width="8.83203125" style="82"/>
  </cols>
  <sheetData>
    <row r="1" spans="1:12" ht="17" thickBot="1" x14ac:dyDescent="0.25">
      <c r="A1" s="81"/>
      <c r="B1" s="227" t="s">
        <v>86</v>
      </c>
      <c r="C1" s="227"/>
      <c r="D1" s="227"/>
      <c r="E1" s="227"/>
      <c r="F1" s="227"/>
      <c r="G1" s="228"/>
      <c r="H1" s="228"/>
    </row>
    <row r="2" spans="1:12" ht="16" thickBot="1" x14ac:dyDescent="0.25">
      <c r="A2" s="83"/>
      <c r="B2" s="84" t="s">
        <v>29</v>
      </c>
      <c r="C2" s="85" t="s">
        <v>30</v>
      </c>
      <c r="D2" s="86" t="s">
        <v>31</v>
      </c>
      <c r="E2" s="87" t="s">
        <v>32</v>
      </c>
      <c r="F2" s="86" t="s">
        <v>33</v>
      </c>
      <c r="G2" s="86" t="s">
        <v>34</v>
      </c>
      <c r="H2" s="86" t="s">
        <v>35</v>
      </c>
    </row>
    <row r="3" spans="1:12" x14ac:dyDescent="0.2">
      <c r="A3" s="88">
        <v>1</v>
      </c>
      <c r="B3" s="89" t="s">
        <v>49</v>
      </c>
      <c r="C3" s="90" t="s">
        <v>50</v>
      </c>
      <c r="D3" s="91" t="s">
        <v>51</v>
      </c>
      <c r="E3" s="92" t="s">
        <v>37</v>
      </c>
      <c r="F3" s="93" t="s">
        <v>52</v>
      </c>
      <c r="G3" s="94">
        <v>2</v>
      </c>
      <c r="H3" s="95"/>
      <c r="I3" s="93"/>
    </row>
    <row r="4" spans="1:12" x14ac:dyDescent="0.2">
      <c r="A4" s="88">
        <v>2</v>
      </c>
      <c r="B4" s="96" t="s">
        <v>55</v>
      </c>
      <c r="C4" s="97" t="s">
        <v>39</v>
      </c>
      <c r="D4" s="98" t="s">
        <v>51</v>
      </c>
      <c r="E4" s="99" t="s">
        <v>37</v>
      </c>
      <c r="F4" s="100" t="s">
        <v>52</v>
      </c>
      <c r="G4" s="101">
        <v>2</v>
      </c>
      <c r="H4" s="102"/>
      <c r="I4" s="100"/>
    </row>
    <row r="5" spans="1:12" x14ac:dyDescent="0.2">
      <c r="A5" s="88">
        <v>3</v>
      </c>
      <c r="B5" s="103" t="s">
        <v>53</v>
      </c>
      <c r="C5" s="97" t="s">
        <v>37</v>
      </c>
      <c r="D5" s="98" t="s">
        <v>54</v>
      </c>
      <c r="E5" s="99" t="s">
        <v>37</v>
      </c>
      <c r="F5" s="100" t="s">
        <v>52</v>
      </c>
      <c r="G5" s="104" t="s">
        <v>38</v>
      </c>
      <c r="H5" s="105"/>
      <c r="I5" s="100"/>
    </row>
    <row r="6" spans="1:12" x14ac:dyDescent="0.2">
      <c r="A6" s="88">
        <v>4</v>
      </c>
      <c r="B6" s="103" t="s">
        <v>56</v>
      </c>
      <c r="C6" s="97" t="s">
        <v>37</v>
      </c>
      <c r="D6" s="98" t="s">
        <v>54</v>
      </c>
      <c r="E6" s="99" t="s">
        <v>37</v>
      </c>
      <c r="F6" s="100" t="s">
        <v>52</v>
      </c>
      <c r="G6" s="106" t="s">
        <v>38</v>
      </c>
      <c r="H6" s="102"/>
      <c r="I6" s="100"/>
    </row>
    <row r="7" spans="1:12" x14ac:dyDescent="0.2">
      <c r="A7" s="88">
        <v>5</v>
      </c>
      <c r="B7" s="107" t="s">
        <v>59</v>
      </c>
      <c r="C7" s="97" t="s">
        <v>40</v>
      </c>
      <c r="D7" s="98" t="s">
        <v>60</v>
      </c>
      <c r="E7" s="99" t="s">
        <v>37</v>
      </c>
      <c r="F7" s="100" t="s">
        <v>52</v>
      </c>
      <c r="G7" s="108">
        <v>2</v>
      </c>
      <c r="H7" s="109"/>
      <c r="I7" s="100"/>
    </row>
    <row r="8" spans="1:12" x14ac:dyDescent="0.2">
      <c r="A8" s="88">
        <v>6</v>
      </c>
      <c r="B8" s="107" t="s">
        <v>61</v>
      </c>
      <c r="C8" s="97" t="s">
        <v>40</v>
      </c>
      <c r="D8" s="98" t="s">
        <v>60</v>
      </c>
      <c r="E8" s="99" t="s">
        <v>37</v>
      </c>
      <c r="F8" s="100" t="s">
        <v>52</v>
      </c>
      <c r="G8" s="110">
        <v>2</v>
      </c>
      <c r="H8" s="109"/>
      <c r="I8" s="100"/>
    </row>
    <row r="9" spans="1:12" x14ac:dyDescent="0.2">
      <c r="A9" s="88">
        <v>7</v>
      </c>
      <c r="B9" s="111" t="s">
        <v>62</v>
      </c>
      <c r="C9" s="97" t="s">
        <v>36</v>
      </c>
      <c r="D9" s="98" t="s">
        <v>63</v>
      </c>
      <c r="E9" s="99" t="s">
        <v>37</v>
      </c>
      <c r="F9" s="100" t="s">
        <v>52</v>
      </c>
      <c r="G9" s="112">
        <v>2</v>
      </c>
      <c r="H9" s="109"/>
      <c r="I9" s="113"/>
    </row>
    <row r="10" spans="1:12" x14ac:dyDescent="0.2">
      <c r="A10" s="88">
        <v>8</v>
      </c>
      <c r="B10" s="114" t="s">
        <v>64</v>
      </c>
      <c r="C10" s="115" t="s">
        <v>39</v>
      </c>
      <c r="D10" s="116" t="s">
        <v>63</v>
      </c>
      <c r="E10" s="99" t="s">
        <v>37</v>
      </c>
      <c r="F10" s="100" t="s">
        <v>52</v>
      </c>
      <c r="G10" s="117">
        <v>2</v>
      </c>
      <c r="H10" s="109"/>
      <c r="I10" s="100"/>
    </row>
    <row r="11" spans="1:12" x14ac:dyDescent="0.2">
      <c r="A11" s="88">
        <v>9</v>
      </c>
      <c r="B11" s="118" t="s">
        <v>65</v>
      </c>
      <c r="C11" s="100" t="s">
        <v>66</v>
      </c>
      <c r="D11" s="119" t="s">
        <v>67</v>
      </c>
      <c r="E11" s="99" t="s">
        <v>37</v>
      </c>
      <c r="F11" s="100" t="s">
        <v>52</v>
      </c>
      <c r="G11" s="120">
        <v>2</v>
      </c>
      <c r="H11" s="102"/>
      <c r="I11" s="229" t="s">
        <v>87</v>
      </c>
      <c r="J11" s="230"/>
      <c r="K11" s="230"/>
      <c r="L11" s="230"/>
    </row>
    <row r="12" spans="1:12" x14ac:dyDescent="0.2">
      <c r="A12" s="88">
        <v>10</v>
      </c>
      <c r="B12" s="121" t="s">
        <v>96</v>
      </c>
      <c r="C12" s="100" t="s">
        <v>97</v>
      </c>
      <c r="D12" s="119" t="s">
        <v>67</v>
      </c>
      <c r="E12" s="99" t="s">
        <v>37</v>
      </c>
      <c r="F12" s="100" t="s">
        <v>52</v>
      </c>
      <c r="G12" s="122">
        <v>2</v>
      </c>
      <c r="H12" s="123"/>
      <c r="I12" s="113"/>
    </row>
    <row r="13" spans="1:12" x14ac:dyDescent="0.2">
      <c r="A13" s="88">
        <v>11</v>
      </c>
      <c r="B13" s="121" t="s">
        <v>98</v>
      </c>
      <c r="C13" s="100" t="s">
        <v>99</v>
      </c>
      <c r="D13" s="119" t="s">
        <v>67</v>
      </c>
      <c r="E13" s="99" t="s">
        <v>37</v>
      </c>
      <c r="F13" s="100" t="s">
        <v>52</v>
      </c>
      <c r="G13" s="124">
        <v>1</v>
      </c>
      <c r="H13" s="125"/>
      <c r="I13" s="113"/>
    </row>
    <row r="14" spans="1:12" x14ac:dyDescent="0.2">
      <c r="A14" s="88">
        <v>12</v>
      </c>
      <c r="B14" s="126" t="s">
        <v>100</v>
      </c>
      <c r="C14" s="100" t="s">
        <v>37</v>
      </c>
      <c r="D14" s="119" t="s">
        <v>60</v>
      </c>
      <c r="E14" s="99" t="s">
        <v>37</v>
      </c>
      <c r="F14" s="100" t="s">
        <v>52</v>
      </c>
      <c r="G14" s="104" t="s">
        <v>38</v>
      </c>
      <c r="H14" s="109"/>
      <c r="I14" s="113"/>
    </row>
    <row r="15" spans="1:12" x14ac:dyDescent="0.2">
      <c r="A15" s="88">
        <v>13</v>
      </c>
      <c r="B15" s="126" t="s">
        <v>101</v>
      </c>
      <c r="C15" s="100" t="s">
        <v>37</v>
      </c>
      <c r="D15" s="98" t="s">
        <v>54</v>
      </c>
      <c r="E15" s="99" t="s">
        <v>37</v>
      </c>
      <c r="F15" s="100" t="s">
        <v>52</v>
      </c>
      <c r="G15" s="104" t="s">
        <v>38</v>
      </c>
      <c r="H15" s="109"/>
      <c r="I15" s="100"/>
    </row>
    <row r="16" spans="1:12" x14ac:dyDescent="0.2">
      <c r="A16" s="88"/>
      <c r="B16" s="126"/>
      <c r="C16" s="126"/>
      <c r="D16" s="127"/>
      <c r="E16" s="99"/>
      <c r="F16" s="128"/>
      <c r="G16" s="106"/>
      <c r="H16" s="109"/>
      <c r="I16" s="100"/>
    </row>
    <row r="17" spans="1:9" x14ac:dyDescent="0.2">
      <c r="A17" s="88"/>
      <c r="B17" s="129"/>
      <c r="C17" s="97"/>
      <c r="D17" s="106"/>
      <c r="E17" s="99"/>
      <c r="F17" s="128"/>
      <c r="G17" s="104"/>
      <c r="H17" s="102"/>
      <c r="I17" s="100"/>
    </row>
    <row r="18" spans="1:9" ht="16" thickBot="1" x14ac:dyDescent="0.25">
      <c r="A18" s="88"/>
      <c r="B18" s="130"/>
      <c r="C18" s="131"/>
      <c r="D18" s="132"/>
      <c r="E18" s="133"/>
      <c r="F18" s="134"/>
      <c r="G18" s="135"/>
      <c r="H18" s="136"/>
      <c r="I18" s="137"/>
    </row>
    <row r="20" spans="1:9" ht="16" thickBot="1" x14ac:dyDescent="0.25">
      <c r="A20" s="138"/>
      <c r="B20" s="139"/>
      <c r="C20" s="140"/>
      <c r="D20" s="140"/>
      <c r="E20" s="140"/>
      <c r="F20" s="141"/>
      <c r="G20" s="140"/>
      <c r="H20" s="142"/>
    </row>
    <row r="21" spans="1:9" ht="16" thickBot="1" x14ac:dyDescent="0.25">
      <c r="A21" s="143"/>
      <c r="B21" s="144"/>
      <c r="C21" s="145" t="s">
        <v>68</v>
      </c>
      <c r="D21" s="146" t="s">
        <v>69</v>
      </c>
      <c r="E21" s="147"/>
      <c r="F21" s="147"/>
      <c r="G21" s="147"/>
      <c r="H21" s="143"/>
      <c r="I21" s="147"/>
    </row>
    <row r="22" spans="1:9" ht="16" thickBot="1" x14ac:dyDescent="0.25">
      <c r="A22" s="143"/>
      <c r="B22" s="145" t="s">
        <v>70</v>
      </c>
      <c r="C22" s="146" t="s">
        <v>71</v>
      </c>
      <c r="D22" s="146" t="s">
        <v>71</v>
      </c>
      <c r="E22" s="148"/>
      <c r="F22" s="149"/>
      <c r="G22" s="146" t="s">
        <v>38</v>
      </c>
      <c r="H22" s="148"/>
      <c r="I22" s="150"/>
    </row>
    <row r="23" spans="1:9" x14ac:dyDescent="0.2">
      <c r="A23" s="81"/>
      <c r="B23" s="151"/>
      <c r="C23" s="152"/>
      <c r="D23" s="152"/>
      <c r="E23" s="152"/>
      <c r="F23" s="152"/>
      <c r="G23" s="152"/>
      <c r="H23" s="153"/>
    </row>
    <row r="24" spans="1:9" x14ac:dyDescent="0.2">
      <c r="G24" s="82" t="s">
        <v>102</v>
      </c>
    </row>
    <row r="25" spans="1:9" x14ac:dyDescent="0.2">
      <c r="G25" s="82" t="s">
        <v>88</v>
      </c>
    </row>
  </sheetData>
  <mergeCells count="2">
    <mergeCell ref="B1:H1"/>
    <mergeCell ref="I11:L1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822A2-BC4F-475B-BAC6-6C0C95DEE96F}">
  <sheetPr>
    <tabColor rgb="FFFFC000"/>
  </sheetPr>
  <dimension ref="A1:L24"/>
  <sheetViews>
    <sheetView workbookViewId="0">
      <selection activeCell="B18" sqref="B18"/>
    </sheetView>
  </sheetViews>
  <sheetFormatPr baseColWidth="10" defaultColWidth="8.83203125" defaultRowHeight="15" x14ac:dyDescent="0.2"/>
  <cols>
    <col min="1" max="1" width="2.33203125" style="82" bestFit="1" customWidth="1"/>
    <col min="2" max="2" width="22.5" style="82" bestFit="1" customWidth="1"/>
    <col min="3" max="4" width="12.6640625" style="82" bestFit="1" customWidth="1"/>
    <col min="5" max="5" width="9.1640625" style="82" bestFit="1" customWidth="1"/>
    <col min="6" max="6" width="13.6640625" style="82" bestFit="1" customWidth="1"/>
    <col min="7" max="7" width="30.6640625" style="82" bestFit="1" customWidth="1"/>
    <col min="8" max="8" width="6.1640625" style="82" bestFit="1" customWidth="1"/>
    <col min="9" max="9" width="14.1640625" style="82" customWidth="1"/>
    <col min="10" max="16384" width="8.83203125" style="82"/>
  </cols>
  <sheetData>
    <row r="1" spans="1:12" ht="17" thickBot="1" x14ac:dyDescent="0.25">
      <c r="A1" s="81"/>
      <c r="B1" s="227" t="s">
        <v>72</v>
      </c>
      <c r="C1" s="227"/>
      <c r="D1" s="227"/>
      <c r="E1" s="227"/>
      <c r="F1" s="227"/>
      <c r="G1" s="228"/>
      <c r="H1" s="228"/>
    </row>
    <row r="2" spans="1:12" ht="16" thickBot="1" x14ac:dyDescent="0.25">
      <c r="A2" s="83"/>
      <c r="B2" s="154" t="s">
        <v>29</v>
      </c>
      <c r="C2" s="85" t="s">
        <v>30</v>
      </c>
      <c r="D2" s="86" t="s">
        <v>31</v>
      </c>
      <c r="E2" s="87" t="s">
        <v>32</v>
      </c>
      <c r="F2" s="86" t="s">
        <v>33</v>
      </c>
      <c r="G2" s="86" t="s">
        <v>34</v>
      </c>
      <c r="H2" s="86" t="s">
        <v>35</v>
      </c>
    </row>
    <row r="3" spans="1:12" x14ac:dyDescent="0.2">
      <c r="A3" s="155">
        <v>1</v>
      </c>
      <c r="B3" s="156" t="s">
        <v>73</v>
      </c>
      <c r="C3" s="90" t="s">
        <v>37</v>
      </c>
      <c r="D3" s="157" t="s">
        <v>74</v>
      </c>
      <c r="E3" s="93" t="s">
        <v>37</v>
      </c>
      <c r="F3" s="93" t="s">
        <v>52</v>
      </c>
      <c r="G3" s="158" t="s">
        <v>38</v>
      </c>
      <c r="H3" s="95"/>
      <c r="I3" s="93"/>
    </row>
    <row r="4" spans="1:12" x14ac:dyDescent="0.2">
      <c r="A4" s="155">
        <v>2</v>
      </c>
      <c r="B4" s="159" t="s">
        <v>75</v>
      </c>
      <c r="C4" s="97" t="s">
        <v>39</v>
      </c>
      <c r="D4" s="157" t="s">
        <v>74</v>
      </c>
      <c r="E4" s="100" t="s">
        <v>37</v>
      </c>
      <c r="F4" s="100" t="s">
        <v>52</v>
      </c>
      <c r="G4" s="160">
        <v>2</v>
      </c>
      <c r="H4" s="102"/>
      <c r="I4" s="100"/>
    </row>
    <row r="5" spans="1:12" x14ac:dyDescent="0.2">
      <c r="A5" s="155">
        <v>3</v>
      </c>
      <c r="B5" s="107" t="s">
        <v>57</v>
      </c>
      <c r="C5" s="97" t="s">
        <v>39</v>
      </c>
      <c r="D5" s="98" t="s">
        <v>58</v>
      </c>
      <c r="E5" s="99" t="s">
        <v>37</v>
      </c>
      <c r="F5" s="100" t="s">
        <v>52</v>
      </c>
      <c r="G5" s="161">
        <v>2</v>
      </c>
      <c r="H5" s="105"/>
      <c r="I5" s="100"/>
    </row>
    <row r="6" spans="1:12" x14ac:dyDescent="0.2">
      <c r="A6" s="155">
        <v>4</v>
      </c>
      <c r="B6" s="156" t="s">
        <v>77</v>
      </c>
      <c r="C6" s="97" t="s">
        <v>37</v>
      </c>
      <c r="D6" s="157" t="s">
        <v>74</v>
      </c>
      <c r="E6" s="100" t="s">
        <v>37</v>
      </c>
      <c r="F6" s="100" t="s">
        <v>52</v>
      </c>
      <c r="G6" s="162" t="s">
        <v>38</v>
      </c>
      <c r="H6" s="102"/>
      <c r="I6" s="100"/>
    </row>
    <row r="7" spans="1:12" x14ac:dyDescent="0.2">
      <c r="A7" s="155">
        <v>5</v>
      </c>
      <c r="B7" s="163" t="s">
        <v>78</v>
      </c>
      <c r="C7" s="97" t="s">
        <v>40</v>
      </c>
      <c r="D7" s="164" t="s">
        <v>79</v>
      </c>
      <c r="E7" s="100" t="s">
        <v>37</v>
      </c>
      <c r="F7" s="100" t="s">
        <v>52</v>
      </c>
      <c r="G7" s="165">
        <v>2</v>
      </c>
      <c r="H7" s="109"/>
      <c r="I7" s="229" t="s">
        <v>89</v>
      </c>
      <c r="J7" s="230"/>
      <c r="K7" s="230"/>
      <c r="L7" s="230"/>
    </row>
    <row r="8" spans="1:12" x14ac:dyDescent="0.2">
      <c r="A8" s="155">
        <v>6</v>
      </c>
      <c r="B8" s="156" t="s">
        <v>80</v>
      </c>
      <c r="C8" s="97" t="s">
        <v>37</v>
      </c>
      <c r="D8" s="157" t="s">
        <v>79</v>
      </c>
      <c r="E8" s="100" t="s">
        <v>37</v>
      </c>
      <c r="F8" s="100" t="s">
        <v>52</v>
      </c>
      <c r="G8" s="166" t="s">
        <v>38</v>
      </c>
      <c r="H8" s="109"/>
      <c r="I8" s="100"/>
    </row>
    <row r="9" spans="1:12" x14ac:dyDescent="0.2">
      <c r="A9" s="155">
        <v>7</v>
      </c>
      <c r="B9" s="167" t="s">
        <v>81</v>
      </c>
      <c r="C9" s="97" t="s">
        <v>90</v>
      </c>
      <c r="D9" s="157" t="s">
        <v>79</v>
      </c>
      <c r="E9" s="100" t="s">
        <v>37</v>
      </c>
      <c r="F9" s="100" t="s">
        <v>52</v>
      </c>
      <c r="G9" s="168">
        <v>2</v>
      </c>
      <c r="H9" s="109"/>
      <c r="I9" s="113"/>
    </row>
    <row r="10" spans="1:12" x14ac:dyDescent="0.2">
      <c r="A10" s="155">
        <v>8</v>
      </c>
      <c r="B10" s="169" t="s">
        <v>84</v>
      </c>
      <c r="C10" s="97" t="s">
        <v>39</v>
      </c>
      <c r="D10" s="170" t="s">
        <v>79</v>
      </c>
      <c r="E10" s="100" t="s">
        <v>37</v>
      </c>
      <c r="F10" s="100" t="s">
        <v>52</v>
      </c>
      <c r="G10" s="171">
        <v>2</v>
      </c>
      <c r="H10" s="109"/>
      <c r="I10" s="100"/>
    </row>
    <row r="11" spans="1:12" x14ac:dyDescent="0.2">
      <c r="A11" s="155">
        <v>9</v>
      </c>
      <c r="B11" s="156" t="s">
        <v>82</v>
      </c>
      <c r="C11" s="97" t="s">
        <v>37</v>
      </c>
      <c r="D11" s="164" t="s">
        <v>79</v>
      </c>
      <c r="E11" s="100" t="s">
        <v>37</v>
      </c>
      <c r="F11" s="100" t="s">
        <v>52</v>
      </c>
      <c r="G11" s="166" t="s">
        <v>38</v>
      </c>
      <c r="H11" s="102"/>
      <c r="I11" s="113"/>
    </row>
    <row r="12" spans="1:12" x14ac:dyDescent="0.2">
      <c r="A12" s="155">
        <v>10</v>
      </c>
      <c r="B12" s="156" t="s">
        <v>83</v>
      </c>
      <c r="C12" s="97" t="s">
        <v>37</v>
      </c>
      <c r="D12" s="157" t="s">
        <v>79</v>
      </c>
      <c r="E12" s="100" t="s">
        <v>37</v>
      </c>
      <c r="F12" s="100" t="s">
        <v>52</v>
      </c>
      <c r="G12" s="172" t="s">
        <v>38</v>
      </c>
      <c r="H12" s="123"/>
      <c r="I12" s="113"/>
    </row>
    <row r="13" spans="1:12" x14ac:dyDescent="0.2">
      <c r="A13" s="155">
        <v>11</v>
      </c>
      <c r="B13" s="173" t="s">
        <v>76</v>
      </c>
      <c r="C13" s="97" t="s">
        <v>40</v>
      </c>
      <c r="D13" s="157" t="s">
        <v>74</v>
      </c>
      <c r="E13" s="100" t="s">
        <v>37</v>
      </c>
      <c r="F13" s="100" t="s">
        <v>52</v>
      </c>
      <c r="G13" s="174">
        <v>2</v>
      </c>
      <c r="H13" s="125"/>
      <c r="I13" s="113"/>
    </row>
    <row r="14" spans="1:12" x14ac:dyDescent="0.2">
      <c r="A14" s="155">
        <v>12</v>
      </c>
      <c r="B14" s="173" t="s">
        <v>85</v>
      </c>
      <c r="C14" s="97" t="s">
        <v>40</v>
      </c>
      <c r="D14" s="170" t="s">
        <v>79</v>
      </c>
      <c r="E14" s="100" t="s">
        <v>37</v>
      </c>
      <c r="F14" s="100" t="s">
        <v>52</v>
      </c>
      <c r="G14" s="175">
        <v>2</v>
      </c>
      <c r="H14" s="109"/>
      <c r="I14" s="113"/>
    </row>
    <row r="15" spans="1:12" x14ac:dyDescent="0.2">
      <c r="A15" s="155"/>
      <c r="B15" s="156"/>
      <c r="C15" s="97"/>
      <c r="D15" s="157"/>
      <c r="E15" s="100"/>
      <c r="F15" s="100"/>
      <c r="G15" s="162"/>
      <c r="H15" s="109"/>
      <c r="I15" s="100"/>
    </row>
    <row r="16" spans="1:12" x14ac:dyDescent="0.2">
      <c r="A16" s="155"/>
      <c r="B16" s="176"/>
      <c r="C16" s="97"/>
      <c r="D16" s="157"/>
      <c r="E16" s="100"/>
      <c r="F16" s="100"/>
      <c r="G16" s="166"/>
      <c r="H16" s="109"/>
      <c r="I16" s="113"/>
    </row>
    <row r="17" spans="1:9" x14ac:dyDescent="0.2">
      <c r="A17" s="155"/>
      <c r="B17" s="156"/>
      <c r="C17" s="97"/>
      <c r="D17" s="157"/>
      <c r="E17" s="100"/>
      <c r="F17" s="128"/>
      <c r="G17" s="166"/>
      <c r="H17" s="102"/>
      <c r="I17" s="100"/>
    </row>
    <row r="18" spans="1:9" ht="16" thickBot="1" x14ac:dyDescent="0.25">
      <c r="A18" s="155"/>
      <c r="B18" s="177"/>
      <c r="C18" s="131"/>
      <c r="D18" s="178"/>
      <c r="E18" s="137"/>
      <c r="F18" s="134"/>
      <c r="G18" s="179"/>
      <c r="H18" s="136"/>
      <c r="I18" s="137"/>
    </row>
    <row r="20" spans="1:9" ht="16" thickBot="1" x14ac:dyDescent="0.25">
      <c r="A20" s="138"/>
      <c r="B20" s="139"/>
      <c r="C20" s="140"/>
      <c r="D20" s="140"/>
      <c r="E20" s="140"/>
      <c r="F20" s="141"/>
      <c r="G20" s="140"/>
      <c r="H20" s="142"/>
    </row>
    <row r="21" spans="1:9" ht="16" thickBot="1" x14ac:dyDescent="0.25">
      <c r="A21" s="143"/>
      <c r="B21" s="144"/>
      <c r="C21" s="180" t="s">
        <v>68</v>
      </c>
      <c r="D21" s="150" t="s">
        <v>69</v>
      </c>
      <c r="E21" s="147"/>
      <c r="F21" s="147"/>
      <c r="G21" s="147"/>
      <c r="H21" s="143"/>
      <c r="I21" s="147"/>
    </row>
    <row r="22" spans="1:9" ht="16" thickBot="1" x14ac:dyDescent="0.25">
      <c r="A22" s="143"/>
      <c r="B22" s="145" t="s">
        <v>70</v>
      </c>
      <c r="C22" s="146" t="s">
        <v>91</v>
      </c>
      <c r="D22" s="146" t="s">
        <v>91</v>
      </c>
      <c r="E22" s="148"/>
      <c r="F22" s="149"/>
      <c r="G22" s="146" t="s">
        <v>38</v>
      </c>
      <c r="H22" s="148"/>
      <c r="I22" s="150"/>
    </row>
    <row r="23" spans="1:9" x14ac:dyDescent="0.2">
      <c r="A23" s="81"/>
      <c r="B23" s="151"/>
      <c r="C23" s="152"/>
      <c r="D23" s="152"/>
      <c r="E23" s="152"/>
      <c r="F23" s="152"/>
      <c r="G23" s="152"/>
      <c r="H23" s="153"/>
    </row>
    <row r="24" spans="1:9" x14ac:dyDescent="0.2">
      <c r="G24" s="82" t="s">
        <v>88</v>
      </c>
    </row>
  </sheetData>
  <mergeCells count="2">
    <mergeCell ref="B1:H1"/>
    <mergeCell ref="I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1</vt:i4>
      </vt:variant>
    </vt:vector>
  </HeadingPairs>
  <TitlesOfParts>
    <vt:vector size="5" baseType="lpstr">
      <vt:lpstr>DoubleTree</vt:lpstr>
      <vt:lpstr>Konaklama Listesi</vt:lpstr>
      <vt:lpstr>Grup 1 - EDA AYGÜN</vt:lpstr>
      <vt:lpstr>Grup 2 - RASİM SAMANLI</vt:lpstr>
      <vt:lpstr>DoubleTree!Yazdırma_Alanı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Alper Ergeç</dc:creator>
  <cp:lastModifiedBy>Ergun Piji / S.T.O.K. MICE</cp:lastModifiedBy>
  <cp:lastPrinted>2022-08-01T11:02:21Z</cp:lastPrinted>
  <dcterms:created xsi:type="dcterms:W3CDTF">2015-06-05T18:19:34Z</dcterms:created>
  <dcterms:modified xsi:type="dcterms:W3CDTF">2026-04-13T13:24:47Z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5a0de8-b827-4bc9-a670-fb2527f18a84_Enabled">
    <vt:lpwstr>true</vt:lpwstr>
  </property>
  <property fmtid="{D5CDD505-2E9C-101B-9397-08002B2CF9AE}" pid="3" name="MSIP_Label_7d5a0de8-b827-4bc9-a670-fb2527f18a84_SetDate">
    <vt:lpwstr>2022-11-14T12:40:35Z</vt:lpwstr>
  </property>
  <property fmtid="{D5CDD505-2E9C-101B-9397-08002B2CF9AE}" pid="4" name="MSIP_Label_7d5a0de8-b827-4bc9-a670-fb2527f18a84_Method">
    <vt:lpwstr>Privileged</vt:lpwstr>
  </property>
  <property fmtid="{D5CDD505-2E9C-101B-9397-08002B2CF9AE}" pid="5" name="MSIP_Label_7d5a0de8-b827-4bc9-a670-fb2527f18a84_Name">
    <vt:lpwstr>Kamuya Açık</vt:lpwstr>
  </property>
  <property fmtid="{D5CDD505-2E9C-101B-9397-08002B2CF9AE}" pid="6" name="MSIP_Label_7d5a0de8-b827-4bc9-a670-fb2527f18a84_SiteId">
    <vt:lpwstr>8d43ffbc-a57a-4d9e-8505-d5f18d7eac9b</vt:lpwstr>
  </property>
  <property fmtid="{D5CDD505-2E9C-101B-9397-08002B2CF9AE}" pid="7" name="MSIP_Label_7d5a0de8-b827-4bc9-a670-fb2527f18a84_ActionId">
    <vt:lpwstr>2a167e30-9eb8-40b9-ae2b-9768bc8f9db9</vt:lpwstr>
  </property>
  <property fmtid="{D5CDD505-2E9C-101B-9397-08002B2CF9AE}" pid="8" name="MSIP_Label_7d5a0de8-b827-4bc9-a670-fb2527f18a84_ContentBits">
    <vt:lpwstr>0</vt:lpwstr>
  </property>
</Properties>
</file>